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256a08112507d411/Desktop/KPI's/"/>
    </mc:Choice>
  </mc:AlternateContent>
  <xr:revisionPtr revIDLastSave="0" documentId="8_{CD206FD1-40FA-4E65-B67A-83D1E70DDCA9}" xr6:coauthVersionLast="47" xr6:coauthVersionMax="47" xr10:uidLastSave="{00000000-0000-0000-0000-000000000000}"/>
  <bookViews>
    <workbookView xWindow="-51204" yWindow="3984" windowWidth="46080" windowHeight="12660" activeTab="2" xr2:uid="{BC7F78A6-B7F2-4AC8-B2AB-8E8755B0BBEE}"/>
  </bookViews>
  <sheets>
    <sheet name="Sheet1" sheetId="1" r:id="rId1"/>
    <sheet name="DATA" sheetId="2" r:id="rId2"/>
    <sheet name="MAIN" sheetId="3" r:id="rId3"/>
    <sheet name="_PVT" sheetId="4" state="veryHidden" r:id="rId4"/>
  </sheets>
  <definedNames>
    <definedName name="ass_GrowthMoM">MAIN!$R$5</definedName>
    <definedName name="ass_LossProb">MAIN!$R$7</definedName>
    <definedName name="ass_MonthsBack">MAIN!$R$3</definedName>
    <definedName name="ass_NoiseLow">MAIN!$R$8</definedName>
    <definedName name="ass_Seed">MAIN!$R$4</definedName>
    <definedName name="ass_ShockProb">MAIN!$R$6</definedName>
    <definedName name="Slicer_Account">#N/A</definedName>
    <definedName name="Slicer_Region">#N/A</definedName>
  </definedNames>
  <calcPr calcId="191029"/>
  <pivotCaches>
    <pivotCache cacheId="35" r:id="rId5"/>
  </pivotCaches>
  <extLst>
    <ext xmlns:x14="http://schemas.microsoft.com/office/spreadsheetml/2009/9/main" uri="{876F7934-8845-4945-9796-88D515C7AA90}">
      <x14:pivotCaches>
        <pivotCache cacheId="1" r:id="rId6"/>
      </x14:pivotCaches>
    </ex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5" i="3" l="1"/>
  <c r="U4" i="3"/>
  <c r="U3" i="3"/>
  <c r="U2" i="3"/>
</calcChain>
</file>

<file path=xl/sharedStrings.xml><?xml version="1.0" encoding="utf-8"?>
<sst xmlns="http://schemas.openxmlformats.org/spreadsheetml/2006/main" count="4657" uniqueCount="106">
  <si>
    <t>Date</t>
  </si>
  <si>
    <t>Month</t>
  </si>
  <si>
    <t>Year</t>
  </si>
  <si>
    <t>Quarter</t>
  </si>
  <si>
    <t>Account</t>
  </si>
  <si>
    <t>Type</t>
  </si>
  <si>
    <t>Region</t>
  </si>
  <si>
    <t>Description</t>
  </si>
  <si>
    <t>Amount</t>
  </si>
  <si>
    <t>Target</t>
  </si>
  <si>
    <t>Revenue</t>
  </si>
  <si>
    <t>Finance KPI Dashboard</t>
  </si>
  <si>
    <t>Profit</t>
  </si>
  <si>
    <t>Grand Total</t>
  </si>
  <si>
    <t>Sales</t>
  </si>
  <si>
    <t>East</t>
  </si>
  <si>
    <t>Sales Revenue - East</t>
  </si>
  <si>
    <t>Expense</t>
  </si>
  <si>
    <t>Sales Expense - East</t>
  </si>
  <si>
    <t>Services</t>
  </si>
  <si>
    <t>Services Revenue - East</t>
  </si>
  <si>
    <t>Services Expense - East</t>
  </si>
  <si>
    <t>Subscriptions</t>
  </si>
  <si>
    <t>Subscriptions Revenue - East</t>
  </si>
  <si>
    <t>Subscriptions Expense - East</t>
  </si>
  <si>
    <t>Marketing</t>
  </si>
  <si>
    <t>Marketing Revenue - East</t>
  </si>
  <si>
    <t>Marketing Expense - East</t>
  </si>
  <si>
    <t>Operations</t>
  </si>
  <si>
    <t>Operations Revenue - East</t>
  </si>
  <si>
    <t>Operations Expense - East</t>
  </si>
  <si>
    <t>HR</t>
  </si>
  <si>
    <t>HR Revenue - East</t>
  </si>
  <si>
    <t>HR Expense - East</t>
  </si>
  <si>
    <t>R&amp;D</t>
  </si>
  <si>
    <t>R&amp;D Revenue - East</t>
  </si>
  <si>
    <t>R&amp;D Expense - East</t>
  </si>
  <si>
    <t>G&amp;A</t>
  </si>
  <si>
    <t>G&amp;A Revenue - East</t>
  </si>
  <si>
    <t>G&amp;A Expense - East</t>
  </si>
  <si>
    <t>West</t>
  </si>
  <si>
    <t>Sales Revenue - West</t>
  </si>
  <si>
    <t>Sales Expense - West</t>
  </si>
  <si>
    <t>Services Revenue - West</t>
  </si>
  <si>
    <t>Services Expense - West</t>
  </si>
  <si>
    <t>Subscriptions Revenue - West</t>
  </si>
  <si>
    <t>Subscriptions Expense - West</t>
  </si>
  <si>
    <t>Marketing Revenue - West</t>
  </si>
  <si>
    <t>Marketing Expense - West</t>
  </si>
  <si>
    <t>Operations Revenue - West</t>
  </si>
  <si>
    <t>Operations Expense - West</t>
  </si>
  <si>
    <t>HR Revenue - West</t>
  </si>
  <si>
    <t>HR Expense - West</t>
  </si>
  <si>
    <t>R&amp;D Revenue - West</t>
  </si>
  <si>
    <t>R&amp;D Expense - West</t>
  </si>
  <si>
    <t>G&amp;A Revenue - West</t>
  </si>
  <si>
    <t>G&amp;A Expense - West</t>
  </si>
  <si>
    <t>North</t>
  </si>
  <si>
    <t>Sales Revenue - North</t>
  </si>
  <si>
    <t>Sales Expense - North</t>
  </si>
  <si>
    <t>Services Revenue - North</t>
  </si>
  <si>
    <t>Services Expense - North</t>
  </si>
  <si>
    <t>Subscriptions Revenue - North</t>
  </si>
  <si>
    <t>Subscriptions Expense - North</t>
  </si>
  <si>
    <t>Marketing Revenue - North</t>
  </si>
  <si>
    <t>Marketing Expense - North</t>
  </si>
  <si>
    <t>Operations Revenue - North</t>
  </si>
  <si>
    <t>Operations Expense - North</t>
  </si>
  <si>
    <t>HR Revenue - North</t>
  </si>
  <si>
    <t>HR Expense - North</t>
  </si>
  <si>
    <t>R&amp;D Revenue - North</t>
  </si>
  <si>
    <t>R&amp;D Expense - North</t>
  </si>
  <si>
    <t>G&amp;A Revenue - North</t>
  </si>
  <si>
    <t>G&amp;A Expense - North</t>
  </si>
  <si>
    <t>South</t>
  </si>
  <si>
    <t>Sales Revenue - South</t>
  </si>
  <si>
    <t>Sales Expense - South</t>
  </si>
  <si>
    <t>Services Revenue - South</t>
  </si>
  <si>
    <t>Services Expense - South</t>
  </si>
  <si>
    <t>Subscriptions Revenue - South</t>
  </si>
  <si>
    <t>Subscriptions Expense - South</t>
  </si>
  <si>
    <t>Marketing Revenue - South</t>
  </si>
  <si>
    <t>Marketing Expense - South</t>
  </si>
  <si>
    <t>Operations Revenue - South</t>
  </si>
  <si>
    <t>Operations Expense - South</t>
  </si>
  <si>
    <t>HR Revenue - South</t>
  </si>
  <si>
    <t>HR Expense - South</t>
  </si>
  <si>
    <t>R&amp;D Revenue - South</t>
  </si>
  <si>
    <t>R&amp;D Expense - South</t>
  </si>
  <si>
    <t>G&amp;A Revenue - South</t>
  </si>
  <si>
    <t>G&amp;A Expense - South</t>
  </si>
  <si>
    <t>2024</t>
  </si>
  <si>
    <t>2025</t>
  </si>
  <si>
    <t>Years (Date)</t>
  </si>
  <si>
    <t>Quarters (Date)</t>
  </si>
  <si>
    <t>Months (Date)</t>
  </si>
  <si>
    <t>Source: tblFinance  |  Last 12–24 months</t>
  </si>
  <si>
    <t>Next: run Step 2 to add the WOW charts.</t>
  </si>
  <si>
    <t>Assumptions</t>
  </si>
  <si>
    <t>Months Back</t>
  </si>
  <si>
    <t>Seed</t>
  </si>
  <si>
    <t>Growth (MoM)</t>
  </si>
  <si>
    <t>Shock Prob</t>
  </si>
  <si>
    <t>Loss Prob</t>
  </si>
  <si>
    <t>Noise Low</t>
  </si>
  <si>
    <t>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</si>
</sst>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_(&quot;$&quot;* #,##0_);_(&quot;$&quot;* \(#,##0\);_(&quot;$&quot;* &quot;-&quot;??_);_(@_)"/>
    <numFmt numFmtId="166" formatCode="0.0%;;;"/>
  </numFmts>
  <fonts count="6" x14ac:knownFonts="1">
    <font>
      <sz val="11"/>
      <color theme="1"/>
      <name val="Aptos Narrow"/>
      <family val="2"/>
      <scheme val="minor"/>
    </font>
    <font>
      <b/>
      <sz val="11"/>
      <color theme="1"/>
      <name val="Aptos Narrow"/>
      <family val="2"/>
      <scheme val="minor"/>
    </font>
    <font>
      <sz val="20"/>
      <color rgb="FF1E2D3C"/>
      <name val="Segoe UI Semibold"/>
      <family val="2"/>
    </font>
    <font>
      <sz val="10"/>
      <color rgb="FF78828C"/>
      <name val="Segoe UI"/>
      <family val="2"/>
    </font>
    <font>
      <sz val="9"/>
      <color rgb="FF78828C"/>
      <name val="Aptos Narrow"/>
      <family val="2"/>
      <scheme val="minor"/>
    </font>
    <font>
      <b/>
      <sz val="12"/>
      <color theme="1"/>
      <name val="Aptos Narrow"/>
      <family val="2"/>
      <scheme val="minor"/>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164" fontId="1" fillId="0" borderId="0" xfId="0" applyNumberFormat="1" applyFont="1"/>
    <xf numFmtId="164" fontId="0" fillId="0" borderId="0" xfId="0" applyNumberFormat="1"/>
    <xf numFmtId="1" fontId="1" fillId="0" borderId="0" xfId="0" applyNumberFormat="1" applyFont="1"/>
    <xf numFmtId="1" fontId="0" fillId="0" borderId="0" xfId="0" applyNumberFormat="1"/>
    <xf numFmtId="165" fontId="1" fillId="0" borderId="0" xfId="0" applyNumberFormat="1" applyFont="1"/>
    <xf numFmtId="165" fontId="0" fillId="0" borderId="0" xfId="0" applyNumberFormat="1"/>
    <xf numFmtId="0" fontId="0" fillId="2" borderId="0" xfId="0" applyFill="1"/>
    <xf numFmtId="0" fontId="2" fillId="2" borderId="0" xfId="0" applyFont="1" applyFill="1"/>
    <xf numFmtId="0" fontId="3" fillId="2" borderId="0" xfId="0" applyFont="1" applyFill="1"/>
    <xf numFmtId="0" fontId="0" fillId="0" borderId="0" xfId="0" pivotButton="1"/>
    <xf numFmtId="0" fontId="4" fillId="2" borderId="0" xfId="0" applyFont="1" applyFill="1"/>
    <xf numFmtId="0" fontId="5" fillId="0" borderId="0" xfId="0" applyFont="1"/>
    <xf numFmtId="10" fontId="0" fillId="0" borderId="0" xfId="0" applyNumberFormat="1"/>
    <xf numFmtId="2" fontId="0" fillId="0" borderId="0" xfId="0" applyNumberFormat="1"/>
    <xf numFmtId="165" fontId="0" fillId="2" borderId="0" xfId="0" applyNumberFormat="1" applyFill="1"/>
    <xf numFmtId="166" fontId="0" fillId="2" borderId="0" xfId="0" applyNumberFormat="1" applyFill="1"/>
  </cellXfs>
  <cellStyles count="1">
    <cellStyle name="Normal" xfId="0" builtinId="0"/>
  </cellStyles>
  <dxfs count="7">
    <dxf>
      <numFmt numFmtId="165" formatCode="_(&quot;$&quot;* #,##0_);_(&quot;$&quot;* \(#,##0\);_(&quot;$&quot;* &quot;-&quot;??_);_(@_)"/>
    </dxf>
    <dxf>
      <numFmt numFmtId="165" formatCode="_(&quot;$&quot;* #,##0_);_(&quot;$&quot;* \(#,##0\);_(&quot;$&quot;* &quot;-&quot;??_);_(@_)"/>
    </dxf>
    <dxf>
      <numFmt numFmtId="1" formatCode="0"/>
    </dxf>
    <dxf>
      <numFmt numFmtId="1" formatCode="0"/>
    </dxf>
    <dxf>
      <numFmt numFmtId="1" formatCode="0"/>
    </dxf>
    <dxf>
      <numFmt numFmtId="164" formatCode="yyyy\-mm\-dd"/>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[KPI-PowerBi-dashboard.xlsm]_PVT!pvtRevTarget</c:name>
    <c:fmtId val="0"/>
  </c:pivotSource>
  <c:chart>
    <c:title>
      <c:tx>
        <c:rich>
          <a:bodyPr/>
          <a:lstStyle/>
          <a:p>
            <a:pPr>
              <a:defRPr sz="1200">
                <a:latin typeface="Segoe UI Semibold" panose="020B0702040204020203" pitchFamily="34" charset="0"/>
              </a:defRPr>
            </a:pPr>
            <a:r>
              <a:rPr lang="en-US" sz="1200">
                <a:latin typeface="Segoe UI Semibold" panose="020B0702040204020203" pitchFamily="34" charset="0"/>
              </a:rPr>
              <a:t>Revenue vs Target (Monthly)</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_PVT!$E$3</c:f>
              <c:strCache>
                <c:ptCount val="1"/>
                <c:pt idx="0">
                  <c:v>Total</c:v>
                </c:pt>
              </c:strCache>
            </c:strRef>
          </c:tx>
          <c:invertIfNegative val="0"/>
          <c:cat>
            <c:strRef>
              <c:f>_PVT!$A$4:$D$7</c:f>
              <c:strCache>
                <c:ptCount val="3"/>
                <c:pt idx="0">
                  <c:v>2024</c:v>
                </c:pt>
                <c:pt idx="1">
                  <c:v>2025</c:v>
                </c:pt>
                <c:pt idx="2">
                  <c:v>2026</c:v>
                </c:pt>
              </c:strCache>
            </c:strRef>
          </c:cat>
          <c:val>
            <c:numRef>
              <c:f>_PVT!$E$4:$E$7</c:f>
              <c:numCache>
                <c:formatCode>_("$"* #,##0_);_("$"* \(#,##0\);_("$"* "-"??_);_(@_)</c:formatCode>
                <c:ptCount val="3"/>
                <c:pt idx="0">
                  <c:v>2645103.4499999997</c:v>
                </c:pt>
                <c:pt idx="1">
                  <c:v>5957582.3600000013</c:v>
                </c:pt>
                <c:pt idx="2">
                  <c:v>459381.86</c:v>
                </c:pt>
              </c:numCache>
            </c:numRef>
          </c:val>
          <c:extLst>
            <c:ext xmlns:c16="http://schemas.microsoft.com/office/drawing/2014/chart" uri="{C3380CC4-5D6E-409C-BE32-E72D297353CC}">
              <c16:uniqueId val="{00000000-9072-4894-B39C-24FD62A69526}"/>
            </c:ext>
          </c:extLst>
        </c:ser>
        <c:dLbls>
          <c:showLegendKey val="0"/>
          <c:showVal val="0"/>
          <c:showCatName val="0"/>
          <c:showSerName val="0"/>
          <c:showPercent val="0"/>
          <c:showBubbleSize val="0"/>
        </c:dLbls>
        <c:gapWidth val="150"/>
        <c:axId val="1739299424"/>
        <c:axId val="1739302304"/>
      </c:barChart>
      <c:catAx>
        <c:axId val="1739299424"/>
        <c:scaling>
          <c:orientation val="minMax"/>
        </c:scaling>
        <c:delete val="0"/>
        <c:axPos val="b"/>
        <c:numFmt formatCode="General" sourceLinked="1"/>
        <c:majorTickMark val="out"/>
        <c:minorTickMark val="none"/>
        <c:tickLblPos val="nextTo"/>
        <c:txPr>
          <a:bodyPr/>
          <a:lstStyle/>
          <a:p>
            <a:pPr>
              <a:defRPr sz="900"/>
            </a:pPr>
            <a:endParaRPr lang="en-US"/>
          </a:p>
        </c:txPr>
        <c:crossAx val="1739302304"/>
        <c:crosses val="autoZero"/>
        <c:auto val="1"/>
        <c:lblAlgn val="ctr"/>
        <c:lblOffset val="100"/>
        <c:noMultiLvlLbl val="0"/>
      </c:catAx>
      <c:valAx>
        <c:axId val="1739302304"/>
        <c:scaling>
          <c:orientation val="minMax"/>
        </c:scaling>
        <c:delete val="0"/>
        <c:axPos val="l"/>
        <c:majorGridlines>
          <c:spPr>
            <a:ln>
              <a:solidFill>
                <a:srgbClr val="DCE0E5"/>
              </a:solidFill>
            </a:ln>
          </c:spPr>
        </c:majorGridlines>
        <c:numFmt formatCode="_(&quot;$&quot;* #,##0_);_(&quot;$&quot;* \(#,##0\);_(&quot;$&quot;* &quot;-&quot;??_);_(@_)" sourceLinked="1"/>
        <c:majorTickMark val="out"/>
        <c:minorTickMark val="none"/>
        <c:tickLblPos val="nextTo"/>
        <c:txPr>
          <a:bodyPr/>
          <a:lstStyle/>
          <a:p>
            <a:pPr>
              <a:defRPr sz="900"/>
            </a:pPr>
            <a:endParaRPr lang="en-US"/>
          </a:p>
        </c:txPr>
        <c:crossAx val="1739299424"/>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[KPI-PowerBi-dashboard.xlsm]_PVT!pvtProfit</c:name>
    <c:fmtId val="0"/>
  </c:pivotSource>
  <c:chart>
    <c:title>
      <c:tx>
        <c:rich>
          <a:bodyPr/>
          <a:lstStyle/>
          <a:p>
            <a:pPr>
              <a:defRPr sz="1200">
                <a:latin typeface="Segoe UI Semibold" panose="020B0702040204020203" pitchFamily="34" charset="0"/>
              </a:defRPr>
            </a:pPr>
            <a:r>
              <a:rPr lang="en-US" sz="1200">
                <a:latin typeface="Segoe UI Semibold" panose="020B0702040204020203" pitchFamily="34" charset="0"/>
              </a:rPr>
              <a:t>Profit Trend (Monthly)</a:t>
            </a:r>
          </a:p>
        </c:rich>
      </c:tx>
      <c:overlay val="0"/>
    </c:title>
    <c:autoTitleDeleted val="0"/>
    <c:pivotFmts>
      <c:pivotFmt>
        <c:idx val="0"/>
        <c:spPr>
          <a:ln w="28575"/>
        </c:spPr>
        <c:marker>
          <c:symbol val="circle"/>
          <c:size val="6"/>
          <c:spPr>
            <a:ln w="28575"/>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_PVT!$N$3</c:f>
              <c:strCache>
                <c:ptCount val="1"/>
                <c:pt idx="0">
                  <c:v>Total</c:v>
                </c:pt>
              </c:strCache>
            </c:strRef>
          </c:tx>
          <c:spPr>
            <a:ln w="28575"/>
          </c:spPr>
          <c:marker>
            <c:symbol val="circle"/>
            <c:size val="6"/>
            <c:spPr>
              <a:ln w="28575"/>
            </c:spPr>
          </c:marker>
          <c:cat>
            <c:strRef>
              <c:f>_PVT!$J$4:$M$7</c:f>
              <c:strCache>
                <c:ptCount val="3"/>
                <c:pt idx="0">
                  <c:v>2024</c:v>
                </c:pt>
                <c:pt idx="1">
                  <c:v>2025</c:v>
                </c:pt>
                <c:pt idx="2">
                  <c:v>2026</c:v>
                </c:pt>
              </c:strCache>
            </c:strRef>
          </c:cat>
          <c:val>
            <c:numRef>
              <c:f>_PVT!$N$4:$N$7</c:f>
              <c:numCache>
                <c:formatCode>_("$"* #,##0_);_("$"* \(#,##0\);_("$"* "-"??_);_(@_)</c:formatCode>
                <c:ptCount val="3"/>
                <c:pt idx="0">
                  <c:v>523026.22999999992</c:v>
                </c:pt>
                <c:pt idx="1">
                  <c:v>932664.78000000073</c:v>
                </c:pt>
                <c:pt idx="2">
                  <c:v>139492.87</c:v>
                </c:pt>
              </c:numCache>
            </c:numRef>
          </c:val>
          <c:smooth val="0"/>
          <c:extLst>
            <c:ext xmlns:c16="http://schemas.microsoft.com/office/drawing/2014/chart" uri="{C3380CC4-5D6E-409C-BE32-E72D297353CC}">
              <c16:uniqueId val="{00000000-29AE-4790-9718-EAA0A29559F8}"/>
            </c:ext>
          </c:extLst>
        </c:ser>
        <c:dLbls>
          <c:showLegendKey val="0"/>
          <c:showVal val="0"/>
          <c:showCatName val="0"/>
          <c:showSerName val="0"/>
          <c:showPercent val="0"/>
          <c:showBubbleSize val="0"/>
        </c:dLbls>
        <c:marker val="1"/>
        <c:smooth val="0"/>
        <c:axId val="1739296064"/>
        <c:axId val="1739300384"/>
      </c:lineChart>
      <c:catAx>
        <c:axId val="1739296064"/>
        <c:scaling>
          <c:orientation val="minMax"/>
        </c:scaling>
        <c:delete val="0"/>
        <c:axPos val="b"/>
        <c:numFmt formatCode="General" sourceLinked="1"/>
        <c:majorTickMark val="out"/>
        <c:minorTickMark val="none"/>
        <c:tickLblPos val="nextTo"/>
        <c:txPr>
          <a:bodyPr/>
          <a:lstStyle/>
          <a:p>
            <a:pPr>
              <a:defRPr sz="900"/>
            </a:pPr>
            <a:endParaRPr lang="en-US"/>
          </a:p>
        </c:txPr>
        <c:crossAx val="1739300384"/>
        <c:crosses val="autoZero"/>
        <c:auto val="1"/>
        <c:lblAlgn val="ctr"/>
        <c:lblOffset val="100"/>
        <c:noMultiLvlLbl val="0"/>
      </c:catAx>
      <c:valAx>
        <c:axId val="1739300384"/>
        <c:scaling>
          <c:orientation val="minMax"/>
        </c:scaling>
        <c:delete val="0"/>
        <c:axPos val="l"/>
        <c:majorGridlines>
          <c:spPr>
            <a:ln>
              <a:solidFill>
                <a:srgbClr val="DCE0E5"/>
              </a:solidFill>
            </a:ln>
          </c:spPr>
        </c:majorGridlines>
        <c:numFmt formatCode="_(&quot;$&quot;* #,##0_);_(&quot;$&quot;* \(#,##0\);_(&quot;$&quot;* &quot;-&quot;??_);_(@_)" sourceLinked="1"/>
        <c:majorTickMark val="out"/>
        <c:minorTickMark val="none"/>
        <c:tickLblPos val="nextTo"/>
        <c:txPr>
          <a:bodyPr/>
          <a:lstStyle/>
          <a:p>
            <a:pPr>
              <a:defRPr sz="900"/>
            </a:pPr>
            <a:endParaRPr lang="en-US"/>
          </a:p>
        </c:txPr>
        <c:crossAx val="1739296064"/>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[KPI-PowerBi-dashboard.xlsm]_PVT!pvtRevRegion</c:name>
    <c:fmtId val="0"/>
  </c:pivotSource>
  <c:chart>
    <c:title>
      <c:tx>
        <c:rich>
          <a:bodyPr/>
          <a:lstStyle/>
          <a:p>
            <a:pPr>
              <a:defRPr sz="1200">
                <a:latin typeface="Segoe UI Semibold" panose="020B0702040204020203" pitchFamily="34" charset="0"/>
              </a:defRPr>
            </a:pPr>
            <a:r>
              <a:rPr lang="en-US" sz="1200">
                <a:latin typeface="Segoe UI Semibold" panose="020B0702040204020203" pitchFamily="34" charset="0"/>
              </a:rPr>
              <a:t>Revenue by Region</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_PVT!$B$20</c:f>
              <c:strCache>
                <c:ptCount val="1"/>
                <c:pt idx="0">
                  <c:v>Total</c:v>
                </c:pt>
              </c:strCache>
            </c:strRef>
          </c:tx>
          <c:invertIfNegative val="0"/>
          <c:cat>
            <c:strRef>
              <c:f>_PVT!$A$21:$A$25</c:f>
              <c:strCache>
                <c:ptCount val="4"/>
                <c:pt idx="0">
                  <c:v>East</c:v>
                </c:pt>
                <c:pt idx="1">
                  <c:v>North</c:v>
                </c:pt>
                <c:pt idx="2">
                  <c:v>South</c:v>
                </c:pt>
                <c:pt idx="3">
                  <c:v>West</c:v>
                </c:pt>
              </c:strCache>
            </c:strRef>
          </c:cat>
          <c:val>
            <c:numRef>
              <c:f>_PVT!$B$21:$B$25</c:f>
              <c:numCache>
                <c:formatCode>_("$"* #,##0_);_("$"* \(#,##0\);_("$"* "-"??_);_(@_)</c:formatCode>
                <c:ptCount val="4"/>
                <c:pt idx="0">
                  <c:v>2445579.4699999993</c:v>
                </c:pt>
                <c:pt idx="1">
                  <c:v>2246915.1099999994</c:v>
                </c:pt>
                <c:pt idx="2">
                  <c:v>2071278.76</c:v>
                </c:pt>
                <c:pt idx="3">
                  <c:v>2298294.33</c:v>
                </c:pt>
              </c:numCache>
            </c:numRef>
          </c:val>
          <c:extLst>
            <c:ext xmlns:c16="http://schemas.microsoft.com/office/drawing/2014/chart" uri="{C3380CC4-5D6E-409C-BE32-E72D297353CC}">
              <c16:uniqueId val="{00000000-E0D4-46BE-AA12-A9ADE28A7ECE}"/>
            </c:ext>
          </c:extLst>
        </c:ser>
        <c:dLbls>
          <c:showLegendKey val="0"/>
          <c:showVal val="0"/>
          <c:showCatName val="0"/>
          <c:showSerName val="0"/>
          <c:showPercent val="0"/>
          <c:showBubbleSize val="0"/>
        </c:dLbls>
        <c:gapWidth val="150"/>
        <c:axId val="1739297504"/>
        <c:axId val="1739305664"/>
      </c:barChart>
      <c:catAx>
        <c:axId val="1739297504"/>
        <c:scaling>
          <c:orientation val="minMax"/>
        </c:scaling>
        <c:delete val="0"/>
        <c:axPos val="b"/>
        <c:numFmt formatCode="General" sourceLinked="1"/>
        <c:majorTickMark val="out"/>
        <c:minorTickMark val="none"/>
        <c:tickLblPos val="nextTo"/>
        <c:txPr>
          <a:bodyPr/>
          <a:lstStyle/>
          <a:p>
            <a:pPr>
              <a:defRPr sz="900"/>
            </a:pPr>
            <a:endParaRPr lang="en-US"/>
          </a:p>
        </c:txPr>
        <c:crossAx val="1739305664"/>
        <c:crosses val="autoZero"/>
        <c:auto val="1"/>
        <c:lblAlgn val="ctr"/>
        <c:lblOffset val="100"/>
        <c:noMultiLvlLbl val="0"/>
      </c:catAx>
      <c:valAx>
        <c:axId val="1739305664"/>
        <c:scaling>
          <c:orientation val="minMax"/>
        </c:scaling>
        <c:delete val="0"/>
        <c:axPos val="l"/>
        <c:majorGridlines>
          <c:spPr>
            <a:ln>
              <a:solidFill>
                <a:srgbClr val="DCE0E5"/>
              </a:solidFill>
            </a:ln>
          </c:spPr>
        </c:majorGridlines>
        <c:numFmt formatCode="_(&quot;$&quot;* #,##0_);_(&quot;$&quot;* \(#,##0\);_(&quot;$&quot;* &quot;-&quot;??_);_(@_)" sourceLinked="1"/>
        <c:majorTickMark val="out"/>
        <c:minorTickMark val="none"/>
        <c:tickLblPos val="nextTo"/>
        <c:txPr>
          <a:bodyPr/>
          <a:lstStyle/>
          <a:p>
            <a:pPr>
              <a:defRPr sz="900"/>
            </a:pPr>
            <a:endParaRPr lang="en-US"/>
          </a:p>
        </c:txPr>
        <c:crossAx val="1739297504"/>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extLst>
      <a:ext uri="{909E8E84-426E-40DD-AFC4-6F175D3DCCD1}">
        <a14:hiddenFill xmlns:a14="http://schemas.microsoft.com/office/drawing/2010/main">
          <a:solidFill>
            <a:sysClr val="window" lastClr="FFFFFF"/>
          </a:solidFill>
        </a14:hiddenFill>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3</xdr:col>
      <xdr:colOff>406400</xdr:colOff>
      <xdr:row>10</xdr:row>
      <xdr:rowOff>121920</xdr:rowOff>
    </xdr:to>
    <xdr:grpSp>
      <xdr:nvGrpSpPr>
        <xdr:cNvPr id="5" name="Group 4">
          <a:extLst>
            <a:ext uri="{FF2B5EF4-FFF2-40B4-BE49-F238E27FC236}">
              <a16:creationId xmlns:a16="http://schemas.microsoft.com/office/drawing/2014/main" id="{372364B2-6640-4657-62AB-9A7078E5A431}"/>
            </a:ext>
          </a:extLst>
        </xdr:cNvPr>
        <xdr:cNvGrpSpPr/>
      </xdr:nvGrpSpPr>
      <xdr:grpSpPr>
        <a:xfrm>
          <a:off x="876300" y="1203960"/>
          <a:ext cx="2159000" cy="1219200"/>
          <a:chOff x="876300" y="1203960"/>
          <a:chExt cx="2159000" cy="1219200"/>
        </a:xfrm>
      </xdr:grpSpPr>
      <xdr:sp macro="" textlink="">
        <xdr:nvSpPr>
          <xdr:cNvPr id="2" name="Rectangle: Rounded Corners 1">
            <a:extLst>
              <a:ext uri="{FF2B5EF4-FFF2-40B4-BE49-F238E27FC236}">
                <a16:creationId xmlns:a16="http://schemas.microsoft.com/office/drawing/2014/main" id="{DB13E0E9-E574-F6A1-0CA4-749DEC6D6D34}"/>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8489B3E7-D381-4BF2-3AA8-E712C731C53C}"/>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4" name="TextBox 3">
            <a:extLst>
              <a:ext uri="{FF2B5EF4-FFF2-40B4-BE49-F238E27FC236}">
                <a16:creationId xmlns:a16="http://schemas.microsoft.com/office/drawing/2014/main" id="{90ED29D2-CE59-5CE1-25F9-59FC593EA777}"/>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9" name="Group 8">
          <a:extLst>
            <a:ext uri="{FF2B5EF4-FFF2-40B4-BE49-F238E27FC236}">
              <a16:creationId xmlns:a16="http://schemas.microsoft.com/office/drawing/2014/main" id="{9DF8785B-F22A-AD99-1293-E0E202F241DE}"/>
            </a:ext>
          </a:extLst>
        </xdr:cNvPr>
        <xdr:cNvGrpSpPr/>
      </xdr:nvGrpSpPr>
      <xdr:grpSpPr>
        <a:xfrm>
          <a:off x="3238500" y="1203960"/>
          <a:ext cx="2159000" cy="1219200"/>
          <a:chOff x="3238500" y="1203960"/>
          <a:chExt cx="2159000" cy="1219200"/>
        </a:xfrm>
      </xdr:grpSpPr>
      <xdr:sp macro="" textlink="">
        <xdr:nvSpPr>
          <xdr:cNvPr id="6" name="Rectangle: Rounded Corners 5">
            <a:extLst>
              <a:ext uri="{FF2B5EF4-FFF2-40B4-BE49-F238E27FC236}">
                <a16:creationId xmlns:a16="http://schemas.microsoft.com/office/drawing/2014/main" id="{AE13F897-D830-FE95-1E8D-7037DBE83C95}"/>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extLst>
              <a:ext uri="{FF2B5EF4-FFF2-40B4-BE49-F238E27FC236}">
                <a16:creationId xmlns:a16="http://schemas.microsoft.com/office/drawing/2014/main" id="{C3C1E16D-05FA-635A-8C7C-BE11DFC4906C}"/>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8" name="TextBox 7">
            <a:extLst>
              <a:ext uri="{FF2B5EF4-FFF2-40B4-BE49-F238E27FC236}">
                <a16:creationId xmlns:a16="http://schemas.microsoft.com/office/drawing/2014/main" id="{13D60829-9BF7-6474-55A5-2B31CBE710AF}"/>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3" name="Group 12">
          <a:extLst>
            <a:ext uri="{FF2B5EF4-FFF2-40B4-BE49-F238E27FC236}">
              <a16:creationId xmlns:a16="http://schemas.microsoft.com/office/drawing/2014/main" id="{DA00E2C0-952D-CA57-D6EC-538F328D3550}"/>
            </a:ext>
          </a:extLst>
        </xdr:cNvPr>
        <xdr:cNvGrpSpPr/>
      </xdr:nvGrpSpPr>
      <xdr:grpSpPr>
        <a:xfrm>
          <a:off x="5600700" y="1203960"/>
          <a:ext cx="2159000" cy="1219200"/>
          <a:chOff x="5600700" y="1203960"/>
          <a:chExt cx="2159000" cy="1219200"/>
        </a:xfrm>
      </xdr:grpSpPr>
      <xdr:sp macro="" textlink="">
        <xdr:nvSpPr>
          <xdr:cNvPr id="10" name="Rectangle: Rounded Corners 9">
            <a:extLst>
              <a:ext uri="{FF2B5EF4-FFF2-40B4-BE49-F238E27FC236}">
                <a16:creationId xmlns:a16="http://schemas.microsoft.com/office/drawing/2014/main" id="{76D4AD60-739B-9776-F0FF-36D1919A5BC0}"/>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FBDBCC73-288D-BFFA-9BD2-8338F19FD6B7}"/>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2" name="TextBox 11">
            <a:extLst>
              <a:ext uri="{FF2B5EF4-FFF2-40B4-BE49-F238E27FC236}">
                <a16:creationId xmlns:a16="http://schemas.microsoft.com/office/drawing/2014/main" id="{2628E457-B11E-255B-2F8F-29D8967CE016}"/>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7" name="Group 16">
          <a:extLst>
            <a:ext uri="{FF2B5EF4-FFF2-40B4-BE49-F238E27FC236}">
              <a16:creationId xmlns:a16="http://schemas.microsoft.com/office/drawing/2014/main" id="{94B5F1ED-7F8F-7D21-F906-826538AB6883}"/>
            </a:ext>
          </a:extLst>
        </xdr:cNvPr>
        <xdr:cNvGrpSpPr/>
      </xdr:nvGrpSpPr>
      <xdr:grpSpPr>
        <a:xfrm>
          <a:off x="7962900" y="1203960"/>
          <a:ext cx="2159000" cy="1219200"/>
          <a:chOff x="7962900" y="1203960"/>
          <a:chExt cx="2159000" cy="1219200"/>
        </a:xfrm>
      </xdr:grpSpPr>
      <xdr:sp macro="" textlink="">
        <xdr:nvSpPr>
          <xdr:cNvPr id="14" name="Rectangle: Rounded Corners 13">
            <a:extLst>
              <a:ext uri="{FF2B5EF4-FFF2-40B4-BE49-F238E27FC236}">
                <a16:creationId xmlns:a16="http://schemas.microsoft.com/office/drawing/2014/main" id="{643E668A-176D-4B03-CBD6-E3AE12E9A61A}"/>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a:extLst>
              <a:ext uri="{FF2B5EF4-FFF2-40B4-BE49-F238E27FC236}">
                <a16:creationId xmlns:a16="http://schemas.microsoft.com/office/drawing/2014/main" id="{0CEF4D9D-BAA9-88D7-066A-43324D64DB98}"/>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6" name="TextBox 15">
            <a:extLst>
              <a:ext uri="{FF2B5EF4-FFF2-40B4-BE49-F238E27FC236}">
                <a16:creationId xmlns:a16="http://schemas.microsoft.com/office/drawing/2014/main" id="{500A4DCF-F39B-C5DA-0B7E-8E6470DE3B48}"/>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21" name="Group 20">
          <a:extLst>
            <a:ext uri="{FF2B5EF4-FFF2-40B4-BE49-F238E27FC236}">
              <a16:creationId xmlns:a16="http://schemas.microsoft.com/office/drawing/2014/main" id="{DB061885-8C1C-F71A-6DFD-75D2E17C7B01}"/>
            </a:ext>
          </a:extLst>
        </xdr:cNvPr>
        <xdr:cNvGrpSpPr/>
      </xdr:nvGrpSpPr>
      <xdr:grpSpPr>
        <a:xfrm>
          <a:off x="876300" y="1203960"/>
          <a:ext cx="2159000" cy="1219200"/>
          <a:chOff x="876300" y="1203960"/>
          <a:chExt cx="2159000" cy="1219200"/>
        </a:xfrm>
      </xdr:grpSpPr>
      <xdr:sp macro="" textlink="">
        <xdr:nvSpPr>
          <xdr:cNvPr id="18" name="Rectangle: Rounded Corners 17">
            <a:extLst>
              <a:ext uri="{FF2B5EF4-FFF2-40B4-BE49-F238E27FC236}">
                <a16:creationId xmlns:a16="http://schemas.microsoft.com/office/drawing/2014/main" id="{3C76FB25-AEEA-FDC8-2041-FC4E612B14A0}"/>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7263D27B-59FC-96B8-50AF-9BD3FFECEE7C}"/>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20" name="TextBox 19">
            <a:extLst>
              <a:ext uri="{FF2B5EF4-FFF2-40B4-BE49-F238E27FC236}">
                <a16:creationId xmlns:a16="http://schemas.microsoft.com/office/drawing/2014/main" id="{7C4CC86A-4EB2-61F4-74C2-B430885CF911}"/>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5" name="Group 24">
          <a:extLst>
            <a:ext uri="{FF2B5EF4-FFF2-40B4-BE49-F238E27FC236}">
              <a16:creationId xmlns:a16="http://schemas.microsoft.com/office/drawing/2014/main" id="{9DB1D1DD-170A-4741-CABB-8DAFCC7FDE94}"/>
            </a:ext>
          </a:extLst>
        </xdr:cNvPr>
        <xdr:cNvGrpSpPr/>
      </xdr:nvGrpSpPr>
      <xdr:grpSpPr>
        <a:xfrm>
          <a:off x="3238500" y="1203960"/>
          <a:ext cx="2159000" cy="1219200"/>
          <a:chOff x="3238500" y="1203960"/>
          <a:chExt cx="2159000" cy="1219200"/>
        </a:xfrm>
      </xdr:grpSpPr>
      <xdr:sp macro="" textlink="">
        <xdr:nvSpPr>
          <xdr:cNvPr id="22" name="Rectangle: Rounded Corners 21">
            <a:extLst>
              <a:ext uri="{FF2B5EF4-FFF2-40B4-BE49-F238E27FC236}">
                <a16:creationId xmlns:a16="http://schemas.microsoft.com/office/drawing/2014/main" id="{7F5D0633-E877-C39F-9EC1-F4CFA5F0DCB9}"/>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DA12D9DC-7D1C-6E1E-9551-DA8F683F7D03}"/>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24" name="TextBox 23">
            <a:extLst>
              <a:ext uri="{FF2B5EF4-FFF2-40B4-BE49-F238E27FC236}">
                <a16:creationId xmlns:a16="http://schemas.microsoft.com/office/drawing/2014/main" id="{2B9E9E23-05EF-03F4-48F8-4D69AE1F51F0}"/>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9" name="Group 28">
          <a:extLst>
            <a:ext uri="{FF2B5EF4-FFF2-40B4-BE49-F238E27FC236}">
              <a16:creationId xmlns:a16="http://schemas.microsoft.com/office/drawing/2014/main" id="{21A337F2-0418-9346-CEDE-327B5204CCC1}"/>
            </a:ext>
          </a:extLst>
        </xdr:cNvPr>
        <xdr:cNvGrpSpPr/>
      </xdr:nvGrpSpPr>
      <xdr:grpSpPr>
        <a:xfrm>
          <a:off x="5600700" y="1203960"/>
          <a:ext cx="2159000" cy="1219200"/>
          <a:chOff x="5600700" y="1203960"/>
          <a:chExt cx="2159000" cy="1219200"/>
        </a:xfrm>
      </xdr:grpSpPr>
      <xdr:sp macro="" textlink="">
        <xdr:nvSpPr>
          <xdr:cNvPr id="26" name="Rectangle: Rounded Corners 25">
            <a:extLst>
              <a:ext uri="{FF2B5EF4-FFF2-40B4-BE49-F238E27FC236}">
                <a16:creationId xmlns:a16="http://schemas.microsoft.com/office/drawing/2014/main" id="{DBDFDF33-BEB4-D1FD-0C02-7E2ED1A9AB86}"/>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TextBox 26">
            <a:extLst>
              <a:ext uri="{FF2B5EF4-FFF2-40B4-BE49-F238E27FC236}">
                <a16:creationId xmlns:a16="http://schemas.microsoft.com/office/drawing/2014/main" id="{10E308F2-4016-E6F4-4AA3-7E4E0C1FB28A}"/>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28" name="TextBox 27">
            <a:extLst>
              <a:ext uri="{FF2B5EF4-FFF2-40B4-BE49-F238E27FC236}">
                <a16:creationId xmlns:a16="http://schemas.microsoft.com/office/drawing/2014/main" id="{9AC84282-733D-5C27-E59A-7A04BB7093BC}"/>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33" name="Group 32">
          <a:extLst>
            <a:ext uri="{FF2B5EF4-FFF2-40B4-BE49-F238E27FC236}">
              <a16:creationId xmlns:a16="http://schemas.microsoft.com/office/drawing/2014/main" id="{39F897B2-8A5E-C6C8-5EF5-45A8FF512639}"/>
            </a:ext>
          </a:extLst>
        </xdr:cNvPr>
        <xdr:cNvGrpSpPr/>
      </xdr:nvGrpSpPr>
      <xdr:grpSpPr>
        <a:xfrm>
          <a:off x="7962900" y="1203960"/>
          <a:ext cx="2159000" cy="1219200"/>
          <a:chOff x="7962900" y="1203960"/>
          <a:chExt cx="2159000" cy="1219200"/>
        </a:xfrm>
      </xdr:grpSpPr>
      <xdr:sp macro="" textlink="">
        <xdr:nvSpPr>
          <xdr:cNvPr id="30" name="Rectangle: Rounded Corners 29">
            <a:extLst>
              <a:ext uri="{FF2B5EF4-FFF2-40B4-BE49-F238E27FC236}">
                <a16:creationId xmlns:a16="http://schemas.microsoft.com/office/drawing/2014/main" id="{58F89DD2-45A6-8FC2-C265-75DD551259B3}"/>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TextBox 30">
            <a:extLst>
              <a:ext uri="{FF2B5EF4-FFF2-40B4-BE49-F238E27FC236}">
                <a16:creationId xmlns:a16="http://schemas.microsoft.com/office/drawing/2014/main" id="{52907011-5721-E9B0-FDFF-0FD421948A6B}"/>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32" name="TextBox 31">
            <a:extLst>
              <a:ext uri="{FF2B5EF4-FFF2-40B4-BE49-F238E27FC236}">
                <a16:creationId xmlns:a16="http://schemas.microsoft.com/office/drawing/2014/main" id="{27882927-0463-748F-31B3-884736523EFE}"/>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43" name="Group 42">
          <a:extLst>
            <a:ext uri="{FF2B5EF4-FFF2-40B4-BE49-F238E27FC236}">
              <a16:creationId xmlns:a16="http://schemas.microsoft.com/office/drawing/2014/main" id="{90BE6738-7909-6D27-D718-C28569E5D00E}"/>
            </a:ext>
          </a:extLst>
        </xdr:cNvPr>
        <xdr:cNvGrpSpPr/>
      </xdr:nvGrpSpPr>
      <xdr:grpSpPr>
        <a:xfrm>
          <a:off x="876300" y="1203960"/>
          <a:ext cx="2159000" cy="1219200"/>
          <a:chOff x="876300" y="1203960"/>
          <a:chExt cx="2159000" cy="1219200"/>
        </a:xfrm>
      </xdr:grpSpPr>
      <xdr:sp macro="" textlink="">
        <xdr:nvSpPr>
          <xdr:cNvPr id="40" name="Rectangle: Rounded Corners 39">
            <a:extLst>
              <a:ext uri="{FF2B5EF4-FFF2-40B4-BE49-F238E27FC236}">
                <a16:creationId xmlns:a16="http://schemas.microsoft.com/office/drawing/2014/main" id="{15B8BE2D-41BE-D35C-D8A6-5E9235C1AC82}"/>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40">
            <a:extLst>
              <a:ext uri="{FF2B5EF4-FFF2-40B4-BE49-F238E27FC236}">
                <a16:creationId xmlns:a16="http://schemas.microsoft.com/office/drawing/2014/main" id="{57EE71F3-ABE1-5AED-59CA-8DAE87A1EAEE}"/>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42" name="TextBox 41">
            <a:extLst>
              <a:ext uri="{FF2B5EF4-FFF2-40B4-BE49-F238E27FC236}">
                <a16:creationId xmlns:a16="http://schemas.microsoft.com/office/drawing/2014/main" id="{4AA660D9-9C04-7AA4-6759-5CE6054116D5}"/>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47" name="Group 46">
          <a:extLst>
            <a:ext uri="{FF2B5EF4-FFF2-40B4-BE49-F238E27FC236}">
              <a16:creationId xmlns:a16="http://schemas.microsoft.com/office/drawing/2014/main" id="{5D5000F8-AFE4-B36E-6375-953B45E1B113}"/>
            </a:ext>
          </a:extLst>
        </xdr:cNvPr>
        <xdr:cNvGrpSpPr/>
      </xdr:nvGrpSpPr>
      <xdr:grpSpPr>
        <a:xfrm>
          <a:off x="3238500" y="1203960"/>
          <a:ext cx="2159000" cy="1219200"/>
          <a:chOff x="3238500" y="1203960"/>
          <a:chExt cx="2159000" cy="1219200"/>
        </a:xfrm>
      </xdr:grpSpPr>
      <xdr:sp macro="" textlink="">
        <xdr:nvSpPr>
          <xdr:cNvPr id="44" name="Rectangle: Rounded Corners 43">
            <a:extLst>
              <a:ext uri="{FF2B5EF4-FFF2-40B4-BE49-F238E27FC236}">
                <a16:creationId xmlns:a16="http://schemas.microsoft.com/office/drawing/2014/main" id="{CE373D5E-418F-8547-639B-8AE17814814C}"/>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TextBox 44">
            <a:extLst>
              <a:ext uri="{FF2B5EF4-FFF2-40B4-BE49-F238E27FC236}">
                <a16:creationId xmlns:a16="http://schemas.microsoft.com/office/drawing/2014/main" id="{86D3B189-B943-6AF9-3F68-4A4BF3F61E65}"/>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46" name="TextBox 45">
            <a:extLst>
              <a:ext uri="{FF2B5EF4-FFF2-40B4-BE49-F238E27FC236}">
                <a16:creationId xmlns:a16="http://schemas.microsoft.com/office/drawing/2014/main" id="{25FCC654-8131-438B-50FA-5E57D36876E0}"/>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51" name="Group 50">
          <a:extLst>
            <a:ext uri="{FF2B5EF4-FFF2-40B4-BE49-F238E27FC236}">
              <a16:creationId xmlns:a16="http://schemas.microsoft.com/office/drawing/2014/main" id="{3B8040A6-359E-A17E-1956-CC6D93373724}"/>
            </a:ext>
          </a:extLst>
        </xdr:cNvPr>
        <xdr:cNvGrpSpPr/>
      </xdr:nvGrpSpPr>
      <xdr:grpSpPr>
        <a:xfrm>
          <a:off x="5600700" y="1203960"/>
          <a:ext cx="2159000" cy="1219200"/>
          <a:chOff x="5600700" y="1203960"/>
          <a:chExt cx="2159000" cy="1219200"/>
        </a:xfrm>
      </xdr:grpSpPr>
      <xdr:sp macro="" textlink="">
        <xdr:nvSpPr>
          <xdr:cNvPr id="48" name="Rectangle: Rounded Corners 47">
            <a:extLst>
              <a:ext uri="{FF2B5EF4-FFF2-40B4-BE49-F238E27FC236}">
                <a16:creationId xmlns:a16="http://schemas.microsoft.com/office/drawing/2014/main" id="{5B893F5F-9161-7D8D-AC35-CFED826A6581}"/>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TextBox 48">
            <a:extLst>
              <a:ext uri="{FF2B5EF4-FFF2-40B4-BE49-F238E27FC236}">
                <a16:creationId xmlns:a16="http://schemas.microsoft.com/office/drawing/2014/main" id="{AA0EF695-2259-1BBD-27A9-C1EEAC087A42}"/>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50" name="TextBox 49">
            <a:extLst>
              <a:ext uri="{FF2B5EF4-FFF2-40B4-BE49-F238E27FC236}">
                <a16:creationId xmlns:a16="http://schemas.microsoft.com/office/drawing/2014/main" id="{23E2BB3D-7AA7-3C97-B985-AD1A5155D7F6}"/>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55" name="Group 54">
          <a:extLst>
            <a:ext uri="{FF2B5EF4-FFF2-40B4-BE49-F238E27FC236}">
              <a16:creationId xmlns:a16="http://schemas.microsoft.com/office/drawing/2014/main" id="{936F2C15-6432-BEF2-5A38-DA2EE82B99F3}"/>
            </a:ext>
          </a:extLst>
        </xdr:cNvPr>
        <xdr:cNvGrpSpPr/>
      </xdr:nvGrpSpPr>
      <xdr:grpSpPr>
        <a:xfrm>
          <a:off x="7962900" y="1203960"/>
          <a:ext cx="2159000" cy="1219200"/>
          <a:chOff x="7962900" y="1203960"/>
          <a:chExt cx="2159000" cy="1219200"/>
        </a:xfrm>
      </xdr:grpSpPr>
      <xdr:sp macro="" textlink="">
        <xdr:nvSpPr>
          <xdr:cNvPr id="52" name="Rectangle: Rounded Corners 51">
            <a:extLst>
              <a:ext uri="{FF2B5EF4-FFF2-40B4-BE49-F238E27FC236}">
                <a16:creationId xmlns:a16="http://schemas.microsoft.com/office/drawing/2014/main" id="{718D9E9B-6FDE-F1CC-0547-2BB1C9AD478E}"/>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TextBox 52">
            <a:extLst>
              <a:ext uri="{FF2B5EF4-FFF2-40B4-BE49-F238E27FC236}">
                <a16:creationId xmlns:a16="http://schemas.microsoft.com/office/drawing/2014/main" id="{536D419E-AA4D-F010-FADC-BA52CE21A35E}"/>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54" name="TextBox 53">
            <a:extLst>
              <a:ext uri="{FF2B5EF4-FFF2-40B4-BE49-F238E27FC236}">
                <a16:creationId xmlns:a16="http://schemas.microsoft.com/office/drawing/2014/main" id="{0A010496-AAD3-D351-5223-A3BE1FC87527}"/>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65" name="Group 64">
          <a:extLst>
            <a:ext uri="{FF2B5EF4-FFF2-40B4-BE49-F238E27FC236}">
              <a16:creationId xmlns:a16="http://schemas.microsoft.com/office/drawing/2014/main" id="{8E2BEC66-D93E-FD8B-A98F-7B6E7D3DE001}"/>
            </a:ext>
          </a:extLst>
        </xdr:cNvPr>
        <xdr:cNvGrpSpPr/>
      </xdr:nvGrpSpPr>
      <xdr:grpSpPr>
        <a:xfrm>
          <a:off x="876300" y="1203960"/>
          <a:ext cx="2159000" cy="1219200"/>
          <a:chOff x="876300" y="1203960"/>
          <a:chExt cx="2159000" cy="1219200"/>
        </a:xfrm>
      </xdr:grpSpPr>
      <xdr:sp macro="" textlink="">
        <xdr:nvSpPr>
          <xdr:cNvPr id="62" name="Rectangle: Rounded Corners 61">
            <a:extLst>
              <a:ext uri="{FF2B5EF4-FFF2-40B4-BE49-F238E27FC236}">
                <a16:creationId xmlns:a16="http://schemas.microsoft.com/office/drawing/2014/main" id="{8711046E-EAAB-4202-11D5-CAA977F7974D}"/>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TextBox 62">
            <a:extLst>
              <a:ext uri="{FF2B5EF4-FFF2-40B4-BE49-F238E27FC236}">
                <a16:creationId xmlns:a16="http://schemas.microsoft.com/office/drawing/2014/main" id="{FF45E94D-4DD0-4B41-5CE8-8388437CB8E2}"/>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64" name="TextBox 63">
            <a:extLst>
              <a:ext uri="{FF2B5EF4-FFF2-40B4-BE49-F238E27FC236}">
                <a16:creationId xmlns:a16="http://schemas.microsoft.com/office/drawing/2014/main" id="{F3CF8067-2873-E6D6-B818-ABA04B378B12}"/>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69" name="Group 68">
          <a:extLst>
            <a:ext uri="{FF2B5EF4-FFF2-40B4-BE49-F238E27FC236}">
              <a16:creationId xmlns:a16="http://schemas.microsoft.com/office/drawing/2014/main" id="{852DC524-97B8-83C7-7FF6-A50CBAF15EF8}"/>
            </a:ext>
          </a:extLst>
        </xdr:cNvPr>
        <xdr:cNvGrpSpPr/>
      </xdr:nvGrpSpPr>
      <xdr:grpSpPr>
        <a:xfrm>
          <a:off x="3238500" y="1203960"/>
          <a:ext cx="2159000" cy="1219200"/>
          <a:chOff x="3238500" y="1203960"/>
          <a:chExt cx="2159000" cy="1219200"/>
        </a:xfrm>
      </xdr:grpSpPr>
      <xdr:sp macro="" textlink="">
        <xdr:nvSpPr>
          <xdr:cNvPr id="66" name="Rectangle: Rounded Corners 65">
            <a:extLst>
              <a:ext uri="{FF2B5EF4-FFF2-40B4-BE49-F238E27FC236}">
                <a16:creationId xmlns:a16="http://schemas.microsoft.com/office/drawing/2014/main" id="{E567A2B9-361A-F98A-062E-0DA4DE91A29F}"/>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7" name="TextBox 66">
            <a:extLst>
              <a:ext uri="{FF2B5EF4-FFF2-40B4-BE49-F238E27FC236}">
                <a16:creationId xmlns:a16="http://schemas.microsoft.com/office/drawing/2014/main" id="{792B2632-A567-0731-E746-0EB4E279841E}"/>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68" name="TextBox 67">
            <a:extLst>
              <a:ext uri="{FF2B5EF4-FFF2-40B4-BE49-F238E27FC236}">
                <a16:creationId xmlns:a16="http://schemas.microsoft.com/office/drawing/2014/main" id="{25A02693-8CD3-92F4-5C0D-19EFC7B38296}"/>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73" name="Group 72">
          <a:extLst>
            <a:ext uri="{FF2B5EF4-FFF2-40B4-BE49-F238E27FC236}">
              <a16:creationId xmlns:a16="http://schemas.microsoft.com/office/drawing/2014/main" id="{EBACF9E8-C949-D668-54C2-F1BD7654E4EF}"/>
            </a:ext>
          </a:extLst>
        </xdr:cNvPr>
        <xdr:cNvGrpSpPr/>
      </xdr:nvGrpSpPr>
      <xdr:grpSpPr>
        <a:xfrm>
          <a:off x="5600700" y="1203960"/>
          <a:ext cx="2159000" cy="1219200"/>
          <a:chOff x="5600700" y="1203960"/>
          <a:chExt cx="2159000" cy="1219200"/>
        </a:xfrm>
      </xdr:grpSpPr>
      <xdr:sp macro="" textlink="">
        <xdr:nvSpPr>
          <xdr:cNvPr id="70" name="Rectangle: Rounded Corners 69">
            <a:extLst>
              <a:ext uri="{FF2B5EF4-FFF2-40B4-BE49-F238E27FC236}">
                <a16:creationId xmlns:a16="http://schemas.microsoft.com/office/drawing/2014/main" id="{E971E07F-E49B-2C55-64EA-18159E311BBF}"/>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TextBox 70">
            <a:extLst>
              <a:ext uri="{FF2B5EF4-FFF2-40B4-BE49-F238E27FC236}">
                <a16:creationId xmlns:a16="http://schemas.microsoft.com/office/drawing/2014/main" id="{FA56A6B3-184F-2FF6-DAFC-C3439BBE9958}"/>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72" name="TextBox 71">
            <a:extLst>
              <a:ext uri="{FF2B5EF4-FFF2-40B4-BE49-F238E27FC236}">
                <a16:creationId xmlns:a16="http://schemas.microsoft.com/office/drawing/2014/main" id="{120353F8-CEF8-6319-45A2-10A007B595C3}"/>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77" name="Group 76">
          <a:extLst>
            <a:ext uri="{FF2B5EF4-FFF2-40B4-BE49-F238E27FC236}">
              <a16:creationId xmlns:a16="http://schemas.microsoft.com/office/drawing/2014/main" id="{234D5F07-B66C-EA29-161C-1A6167F2E2A8}"/>
            </a:ext>
          </a:extLst>
        </xdr:cNvPr>
        <xdr:cNvGrpSpPr/>
      </xdr:nvGrpSpPr>
      <xdr:grpSpPr>
        <a:xfrm>
          <a:off x="7962900" y="1203960"/>
          <a:ext cx="2159000" cy="1219200"/>
          <a:chOff x="7962900" y="1203960"/>
          <a:chExt cx="2159000" cy="1219200"/>
        </a:xfrm>
      </xdr:grpSpPr>
      <xdr:sp macro="" textlink="">
        <xdr:nvSpPr>
          <xdr:cNvPr id="74" name="Rectangle: Rounded Corners 73">
            <a:extLst>
              <a:ext uri="{FF2B5EF4-FFF2-40B4-BE49-F238E27FC236}">
                <a16:creationId xmlns:a16="http://schemas.microsoft.com/office/drawing/2014/main" id="{54DB1FD2-FAF5-0DB7-3B0B-9F7C02C13FF9}"/>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TextBox 74">
            <a:extLst>
              <a:ext uri="{FF2B5EF4-FFF2-40B4-BE49-F238E27FC236}">
                <a16:creationId xmlns:a16="http://schemas.microsoft.com/office/drawing/2014/main" id="{C9385C83-ABCC-B283-56FE-F05E5E6A6BF1}"/>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76" name="TextBox 75">
            <a:extLst>
              <a:ext uri="{FF2B5EF4-FFF2-40B4-BE49-F238E27FC236}">
                <a16:creationId xmlns:a16="http://schemas.microsoft.com/office/drawing/2014/main" id="{626E34BE-02CC-F24D-DD26-13823D4A787D}"/>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87" name="Group 86">
          <a:extLst>
            <a:ext uri="{FF2B5EF4-FFF2-40B4-BE49-F238E27FC236}">
              <a16:creationId xmlns:a16="http://schemas.microsoft.com/office/drawing/2014/main" id="{FFD0F464-38AB-7815-4442-E28997C59FDA}"/>
            </a:ext>
          </a:extLst>
        </xdr:cNvPr>
        <xdr:cNvGrpSpPr/>
      </xdr:nvGrpSpPr>
      <xdr:grpSpPr>
        <a:xfrm>
          <a:off x="876300" y="1203960"/>
          <a:ext cx="2159000" cy="1219200"/>
          <a:chOff x="876300" y="1203960"/>
          <a:chExt cx="2159000" cy="1219200"/>
        </a:xfrm>
      </xdr:grpSpPr>
      <xdr:sp macro="" textlink="">
        <xdr:nvSpPr>
          <xdr:cNvPr id="84" name="Rectangle: Rounded Corners 83">
            <a:extLst>
              <a:ext uri="{FF2B5EF4-FFF2-40B4-BE49-F238E27FC236}">
                <a16:creationId xmlns:a16="http://schemas.microsoft.com/office/drawing/2014/main" id="{A21F7CBD-BA8E-6607-BE67-8761C5CCC605}"/>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TextBox 84">
            <a:extLst>
              <a:ext uri="{FF2B5EF4-FFF2-40B4-BE49-F238E27FC236}">
                <a16:creationId xmlns:a16="http://schemas.microsoft.com/office/drawing/2014/main" id="{1B7F49C5-1C80-0B73-FD5F-637D78C1EB84}"/>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86" name="TextBox 85">
            <a:extLst>
              <a:ext uri="{FF2B5EF4-FFF2-40B4-BE49-F238E27FC236}">
                <a16:creationId xmlns:a16="http://schemas.microsoft.com/office/drawing/2014/main" id="{EA4F5231-4618-C943-DBEC-D5385B419C2B}"/>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91" name="Group 90">
          <a:extLst>
            <a:ext uri="{FF2B5EF4-FFF2-40B4-BE49-F238E27FC236}">
              <a16:creationId xmlns:a16="http://schemas.microsoft.com/office/drawing/2014/main" id="{2B9ED851-737D-3F60-1816-B1D23D75B937}"/>
            </a:ext>
          </a:extLst>
        </xdr:cNvPr>
        <xdr:cNvGrpSpPr/>
      </xdr:nvGrpSpPr>
      <xdr:grpSpPr>
        <a:xfrm>
          <a:off x="3238500" y="1203960"/>
          <a:ext cx="2159000" cy="1219200"/>
          <a:chOff x="3238500" y="1203960"/>
          <a:chExt cx="2159000" cy="1219200"/>
        </a:xfrm>
      </xdr:grpSpPr>
      <xdr:sp macro="" textlink="">
        <xdr:nvSpPr>
          <xdr:cNvPr id="88" name="Rectangle: Rounded Corners 87">
            <a:extLst>
              <a:ext uri="{FF2B5EF4-FFF2-40B4-BE49-F238E27FC236}">
                <a16:creationId xmlns:a16="http://schemas.microsoft.com/office/drawing/2014/main" id="{657A5610-0F69-558C-55E7-7CC727400BC1}"/>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TextBox 88">
            <a:extLst>
              <a:ext uri="{FF2B5EF4-FFF2-40B4-BE49-F238E27FC236}">
                <a16:creationId xmlns:a16="http://schemas.microsoft.com/office/drawing/2014/main" id="{A11D38AA-64FC-5B6E-22B4-20202C1973D3}"/>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90" name="TextBox 89">
            <a:extLst>
              <a:ext uri="{FF2B5EF4-FFF2-40B4-BE49-F238E27FC236}">
                <a16:creationId xmlns:a16="http://schemas.microsoft.com/office/drawing/2014/main" id="{961AA06B-5C9F-BB38-AF26-4D6E19684651}"/>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95" name="Group 94">
          <a:extLst>
            <a:ext uri="{FF2B5EF4-FFF2-40B4-BE49-F238E27FC236}">
              <a16:creationId xmlns:a16="http://schemas.microsoft.com/office/drawing/2014/main" id="{585F425D-62EA-66D6-F256-B00F49B00292}"/>
            </a:ext>
          </a:extLst>
        </xdr:cNvPr>
        <xdr:cNvGrpSpPr/>
      </xdr:nvGrpSpPr>
      <xdr:grpSpPr>
        <a:xfrm>
          <a:off x="5600700" y="1203960"/>
          <a:ext cx="2159000" cy="1219200"/>
          <a:chOff x="5600700" y="1203960"/>
          <a:chExt cx="2159000" cy="1219200"/>
        </a:xfrm>
      </xdr:grpSpPr>
      <xdr:sp macro="" textlink="">
        <xdr:nvSpPr>
          <xdr:cNvPr id="92" name="Rectangle: Rounded Corners 91">
            <a:extLst>
              <a:ext uri="{FF2B5EF4-FFF2-40B4-BE49-F238E27FC236}">
                <a16:creationId xmlns:a16="http://schemas.microsoft.com/office/drawing/2014/main" id="{FC4D2CFF-3CBE-29B1-FA89-2CC2C510F9EB}"/>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TextBox 92">
            <a:extLst>
              <a:ext uri="{FF2B5EF4-FFF2-40B4-BE49-F238E27FC236}">
                <a16:creationId xmlns:a16="http://schemas.microsoft.com/office/drawing/2014/main" id="{64D67D56-C81A-A04D-C5A9-A780F1200D66}"/>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94" name="TextBox 93">
            <a:extLst>
              <a:ext uri="{FF2B5EF4-FFF2-40B4-BE49-F238E27FC236}">
                <a16:creationId xmlns:a16="http://schemas.microsoft.com/office/drawing/2014/main" id="{B04117A0-CA62-7EFF-5948-010C67B026C7}"/>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99" name="Group 98">
          <a:extLst>
            <a:ext uri="{FF2B5EF4-FFF2-40B4-BE49-F238E27FC236}">
              <a16:creationId xmlns:a16="http://schemas.microsoft.com/office/drawing/2014/main" id="{45C586FF-B36C-DE2C-0C49-A9034DE70F95}"/>
            </a:ext>
          </a:extLst>
        </xdr:cNvPr>
        <xdr:cNvGrpSpPr/>
      </xdr:nvGrpSpPr>
      <xdr:grpSpPr>
        <a:xfrm>
          <a:off x="7962900" y="1203960"/>
          <a:ext cx="2159000" cy="1219200"/>
          <a:chOff x="7962900" y="1203960"/>
          <a:chExt cx="2159000" cy="1219200"/>
        </a:xfrm>
      </xdr:grpSpPr>
      <xdr:sp macro="" textlink="">
        <xdr:nvSpPr>
          <xdr:cNvPr id="96" name="Rectangle: Rounded Corners 95">
            <a:extLst>
              <a:ext uri="{FF2B5EF4-FFF2-40B4-BE49-F238E27FC236}">
                <a16:creationId xmlns:a16="http://schemas.microsoft.com/office/drawing/2014/main" id="{F208F1DF-6828-A19A-335B-F277FFC83032}"/>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TextBox 96">
            <a:extLst>
              <a:ext uri="{FF2B5EF4-FFF2-40B4-BE49-F238E27FC236}">
                <a16:creationId xmlns:a16="http://schemas.microsoft.com/office/drawing/2014/main" id="{5E83B3D5-0EA3-E966-7E65-BF793CB5439C}"/>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98" name="TextBox 97">
            <a:extLst>
              <a:ext uri="{FF2B5EF4-FFF2-40B4-BE49-F238E27FC236}">
                <a16:creationId xmlns:a16="http://schemas.microsoft.com/office/drawing/2014/main" id="{AFAAF603-2A97-675E-BC3C-8B43D63C3A7D}"/>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109" name="Group 108">
          <a:extLst>
            <a:ext uri="{FF2B5EF4-FFF2-40B4-BE49-F238E27FC236}">
              <a16:creationId xmlns:a16="http://schemas.microsoft.com/office/drawing/2014/main" id="{80AB798D-33C1-111E-2BCE-E0B09EF4BD48}"/>
            </a:ext>
          </a:extLst>
        </xdr:cNvPr>
        <xdr:cNvGrpSpPr/>
      </xdr:nvGrpSpPr>
      <xdr:grpSpPr>
        <a:xfrm>
          <a:off x="876300" y="1203960"/>
          <a:ext cx="2159000" cy="1219200"/>
          <a:chOff x="876300" y="1203960"/>
          <a:chExt cx="2159000" cy="1219200"/>
        </a:xfrm>
      </xdr:grpSpPr>
      <xdr:sp macro="" textlink="">
        <xdr:nvSpPr>
          <xdr:cNvPr id="106" name="Rectangle: Rounded Corners 105">
            <a:extLst>
              <a:ext uri="{FF2B5EF4-FFF2-40B4-BE49-F238E27FC236}">
                <a16:creationId xmlns:a16="http://schemas.microsoft.com/office/drawing/2014/main" id="{6587EAB5-C7D3-8CD1-76D3-6BAE6DC19CE4}"/>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 name="TextBox 106">
            <a:extLst>
              <a:ext uri="{FF2B5EF4-FFF2-40B4-BE49-F238E27FC236}">
                <a16:creationId xmlns:a16="http://schemas.microsoft.com/office/drawing/2014/main" id="{2A1FCEED-216D-7177-B4B9-45B34815738F}"/>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108" name="TextBox 107">
            <a:extLst>
              <a:ext uri="{FF2B5EF4-FFF2-40B4-BE49-F238E27FC236}">
                <a16:creationId xmlns:a16="http://schemas.microsoft.com/office/drawing/2014/main" id="{5D21E955-B1EE-70A9-B015-498ED5FFE67E}"/>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113" name="Group 112">
          <a:extLst>
            <a:ext uri="{FF2B5EF4-FFF2-40B4-BE49-F238E27FC236}">
              <a16:creationId xmlns:a16="http://schemas.microsoft.com/office/drawing/2014/main" id="{CB9448FC-48CD-A897-8AB7-823E7C535AA8}"/>
            </a:ext>
          </a:extLst>
        </xdr:cNvPr>
        <xdr:cNvGrpSpPr/>
      </xdr:nvGrpSpPr>
      <xdr:grpSpPr>
        <a:xfrm>
          <a:off x="3238500" y="1203960"/>
          <a:ext cx="2159000" cy="1219200"/>
          <a:chOff x="3238500" y="1203960"/>
          <a:chExt cx="2159000" cy="1219200"/>
        </a:xfrm>
      </xdr:grpSpPr>
      <xdr:sp macro="" textlink="">
        <xdr:nvSpPr>
          <xdr:cNvPr id="110" name="Rectangle: Rounded Corners 109">
            <a:extLst>
              <a:ext uri="{FF2B5EF4-FFF2-40B4-BE49-F238E27FC236}">
                <a16:creationId xmlns:a16="http://schemas.microsoft.com/office/drawing/2014/main" id="{38F4FE02-5C81-19A5-CAFE-0A120A10091E}"/>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TextBox 110">
            <a:extLst>
              <a:ext uri="{FF2B5EF4-FFF2-40B4-BE49-F238E27FC236}">
                <a16:creationId xmlns:a16="http://schemas.microsoft.com/office/drawing/2014/main" id="{89988293-874A-FB7C-B60F-4EE6E46EFAED}"/>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112" name="TextBox 111">
            <a:extLst>
              <a:ext uri="{FF2B5EF4-FFF2-40B4-BE49-F238E27FC236}">
                <a16:creationId xmlns:a16="http://schemas.microsoft.com/office/drawing/2014/main" id="{5ABADB3F-B542-281F-BB60-13CFCEF5B448}"/>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17" name="Group 116">
          <a:extLst>
            <a:ext uri="{FF2B5EF4-FFF2-40B4-BE49-F238E27FC236}">
              <a16:creationId xmlns:a16="http://schemas.microsoft.com/office/drawing/2014/main" id="{79713921-78B5-0856-FCE5-74B784D1367C}"/>
            </a:ext>
          </a:extLst>
        </xdr:cNvPr>
        <xdr:cNvGrpSpPr/>
      </xdr:nvGrpSpPr>
      <xdr:grpSpPr>
        <a:xfrm>
          <a:off x="5600700" y="1203960"/>
          <a:ext cx="2159000" cy="1219200"/>
          <a:chOff x="5600700" y="1203960"/>
          <a:chExt cx="2159000" cy="1219200"/>
        </a:xfrm>
      </xdr:grpSpPr>
      <xdr:sp macro="" textlink="">
        <xdr:nvSpPr>
          <xdr:cNvPr id="114" name="Rectangle: Rounded Corners 113">
            <a:extLst>
              <a:ext uri="{FF2B5EF4-FFF2-40B4-BE49-F238E27FC236}">
                <a16:creationId xmlns:a16="http://schemas.microsoft.com/office/drawing/2014/main" id="{25A339DE-C81F-2C0B-27CF-5DC5F05C4A18}"/>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TextBox 114">
            <a:extLst>
              <a:ext uri="{FF2B5EF4-FFF2-40B4-BE49-F238E27FC236}">
                <a16:creationId xmlns:a16="http://schemas.microsoft.com/office/drawing/2014/main" id="{38D12ED5-7A5F-959C-E444-AE7774066D37}"/>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16" name="TextBox 115">
            <a:extLst>
              <a:ext uri="{FF2B5EF4-FFF2-40B4-BE49-F238E27FC236}">
                <a16:creationId xmlns:a16="http://schemas.microsoft.com/office/drawing/2014/main" id="{6E66E58C-BCFA-0E51-EB3F-E927FD83597B}"/>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21" name="Group 120">
          <a:extLst>
            <a:ext uri="{FF2B5EF4-FFF2-40B4-BE49-F238E27FC236}">
              <a16:creationId xmlns:a16="http://schemas.microsoft.com/office/drawing/2014/main" id="{FCD8DB77-9E69-3434-B01C-1C9B401BE1F5}"/>
            </a:ext>
          </a:extLst>
        </xdr:cNvPr>
        <xdr:cNvGrpSpPr/>
      </xdr:nvGrpSpPr>
      <xdr:grpSpPr>
        <a:xfrm>
          <a:off x="7962900" y="1203960"/>
          <a:ext cx="2159000" cy="1219200"/>
          <a:chOff x="7962900" y="1203960"/>
          <a:chExt cx="2159000" cy="1219200"/>
        </a:xfrm>
      </xdr:grpSpPr>
      <xdr:sp macro="" textlink="">
        <xdr:nvSpPr>
          <xdr:cNvPr id="118" name="Rectangle: Rounded Corners 117">
            <a:extLst>
              <a:ext uri="{FF2B5EF4-FFF2-40B4-BE49-F238E27FC236}">
                <a16:creationId xmlns:a16="http://schemas.microsoft.com/office/drawing/2014/main" id="{5300BD33-710F-2DAC-C1A7-0E7CFBD15726}"/>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TextBox 118">
            <a:extLst>
              <a:ext uri="{FF2B5EF4-FFF2-40B4-BE49-F238E27FC236}">
                <a16:creationId xmlns:a16="http://schemas.microsoft.com/office/drawing/2014/main" id="{69F801B0-CD55-2E7A-DDCF-1AEBC4F630F0}"/>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20" name="TextBox 119">
            <a:extLst>
              <a:ext uri="{FF2B5EF4-FFF2-40B4-BE49-F238E27FC236}">
                <a16:creationId xmlns:a16="http://schemas.microsoft.com/office/drawing/2014/main" id="{B755E1A9-EE6C-56F5-734E-B507AC0FB14E}"/>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136" name="Group 135">
          <a:extLst>
            <a:ext uri="{FF2B5EF4-FFF2-40B4-BE49-F238E27FC236}">
              <a16:creationId xmlns:a16="http://schemas.microsoft.com/office/drawing/2014/main" id="{C767478C-F808-F106-1215-6F7A3B7E3EC6}"/>
            </a:ext>
          </a:extLst>
        </xdr:cNvPr>
        <xdr:cNvGrpSpPr/>
      </xdr:nvGrpSpPr>
      <xdr:grpSpPr>
        <a:xfrm>
          <a:off x="876300" y="1203960"/>
          <a:ext cx="2159000" cy="1219200"/>
          <a:chOff x="876300" y="1203960"/>
          <a:chExt cx="2159000" cy="1219200"/>
        </a:xfrm>
      </xdr:grpSpPr>
      <xdr:sp macro="" textlink="">
        <xdr:nvSpPr>
          <xdr:cNvPr id="133" name="Rectangle: Rounded Corners 132">
            <a:extLst>
              <a:ext uri="{FF2B5EF4-FFF2-40B4-BE49-F238E27FC236}">
                <a16:creationId xmlns:a16="http://schemas.microsoft.com/office/drawing/2014/main" id="{45ACE7C2-DF4C-877F-7C77-828016C10CAC}"/>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TextBox 133">
            <a:extLst>
              <a:ext uri="{FF2B5EF4-FFF2-40B4-BE49-F238E27FC236}">
                <a16:creationId xmlns:a16="http://schemas.microsoft.com/office/drawing/2014/main" id="{0C2C2619-319C-4701-8C32-5792DE37A22E}"/>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135" name="TextBox 134">
            <a:extLst>
              <a:ext uri="{FF2B5EF4-FFF2-40B4-BE49-F238E27FC236}">
                <a16:creationId xmlns:a16="http://schemas.microsoft.com/office/drawing/2014/main" id="{5A7C5073-F4FE-69E1-D42E-0D0C99D0AF31}"/>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140" name="Group 139">
          <a:extLst>
            <a:ext uri="{FF2B5EF4-FFF2-40B4-BE49-F238E27FC236}">
              <a16:creationId xmlns:a16="http://schemas.microsoft.com/office/drawing/2014/main" id="{22C52E81-5133-013C-1924-E9161100CA20}"/>
            </a:ext>
          </a:extLst>
        </xdr:cNvPr>
        <xdr:cNvGrpSpPr/>
      </xdr:nvGrpSpPr>
      <xdr:grpSpPr>
        <a:xfrm>
          <a:off x="3238500" y="1203960"/>
          <a:ext cx="2159000" cy="1219200"/>
          <a:chOff x="3238500" y="1203960"/>
          <a:chExt cx="2159000" cy="1219200"/>
        </a:xfrm>
      </xdr:grpSpPr>
      <xdr:sp macro="" textlink="">
        <xdr:nvSpPr>
          <xdr:cNvPr id="137" name="Rectangle: Rounded Corners 136">
            <a:extLst>
              <a:ext uri="{FF2B5EF4-FFF2-40B4-BE49-F238E27FC236}">
                <a16:creationId xmlns:a16="http://schemas.microsoft.com/office/drawing/2014/main" id="{478347E2-D42C-5BEE-F58E-D85293B9E6C8}"/>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TextBox 137">
            <a:extLst>
              <a:ext uri="{FF2B5EF4-FFF2-40B4-BE49-F238E27FC236}">
                <a16:creationId xmlns:a16="http://schemas.microsoft.com/office/drawing/2014/main" id="{FA546334-56A4-F672-BC30-93A28F1C824D}"/>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139" name="TextBox 138">
            <a:extLst>
              <a:ext uri="{FF2B5EF4-FFF2-40B4-BE49-F238E27FC236}">
                <a16:creationId xmlns:a16="http://schemas.microsoft.com/office/drawing/2014/main" id="{310F17E4-A6FF-F7F0-78C1-115FC09201A5}"/>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44" name="Group 143">
          <a:extLst>
            <a:ext uri="{FF2B5EF4-FFF2-40B4-BE49-F238E27FC236}">
              <a16:creationId xmlns:a16="http://schemas.microsoft.com/office/drawing/2014/main" id="{3BEDF9CF-E30D-AA99-217B-E73448C7A01D}"/>
            </a:ext>
          </a:extLst>
        </xdr:cNvPr>
        <xdr:cNvGrpSpPr/>
      </xdr:nvGrpSpPr>
      <xdr:grpSpPr>
        <a:xfrm>
          <a:off x="5600700" y="1203960"/>
          <a:ext cx="2159000" cy="1219200"/>
          <a:chOff x="5600700" y="1203960"/>
          <a:chExt cx="2159000" cy="1219200"/>
        </a:xfrm>
      </xdr:grpSpPr>
      <xdr:sp macro="" textlink="">
        <xdr:nvSpPr>
          <xdr:cNvPr id="141" name="Rectangle: Rounded Corners 140">
            <a:extLst>
              <a:ext uri="{FF2B5EF4-FFF2-40B4-BE49-F238E27FC236}">
                <a16:creationId xmlns:a16="http://schemas.microsoft.com/office/drawing/2014/main" id="{E6BE73B5-B90A-54AD-0C50-60B677BB2EBA}"/>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a:extLst>
              <a:ext uri="{FF2B5EF4-FFF2-40B4-BE49-F238E27FC236}">
                <a16:creationId xmlns:a16="http://schemas.microsoft.com/office/drawing/2014/main" id="{8C7FE3FC-B375-EB27-EDF5-BC359D7FABFF}"/>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43" name="TextBox 142">
            <a:extLst>
              <a:ext uri="{FF2B5EF4-FFF2-40B4-BE49-F238E27FC236}">
                <a16:creationId xmlns:a16="http://schemas.microsoft.com/office/drawing/2014/main" id="{D7E22290-AA34-8D3F-265D-4FAB15A0D7EE}"/>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48" name="Group 147">
          <a:extLst>
            <a:ext uri="{FF2B5EF4-FFF2-40B4-BE49-F238E27FC236}">
              <a16:creationId xmlns:a16="http://schemas.microsoft.com/office/drawing/2014/main" id="{636DA79D-ADEE-76B3-E5C0-CFC7050303FB}"/>
            </a:ext>
          </a:extLst>
        </xdr:cNvPr>
        <xdr:cNvGrpSpPr/>
      </xdr:nvGrpSpPr>
      <xdr:grpSpPr>
        <a:xfrm>
          <a:off x="7962900" y="1203960"/>
          <a:ext cx="2159000" cy="1219200"/>
          <a:chOff x="7962900" y="1203960"/>
          <a:chExt cx="2159000" cy="1219200"/>
        </a:xfrm>
      </xdr:grpSpPr>
      <xdr:sp macro="" textlink="">
        <xdr:nvSpPr>
          <xdr:cNvPr id="145" name="Rectangle: Rounded Corners 144">
            <a:extLst>
              <a:ext uri="{FF2B5EF4-FFF2-40B4-BE49-F238E27FC236}">
                <a16:creationId xmlns:a16="http://schemas.microsoft.com/office/drawing/2014/main" id="{DA4448B7-27B1-6298-901A-A8CAE59CF683}"/>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6" name="TextBox 145">
            <a:extLst>
              <a:ext uri="{FF2B5EF4-FFF2-40B4-BE49-F238E27FC236}">
                <a16:creationId xmlns:a16="http://schemas.microsoft.com/office/drawing/2014/main" id="{703C39E6-551E-AB23-F85A-DFCB58127B43}"/>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47" name="TextBox 146">
            <a:extLst>
              <a:ext uri="{FF2B5EF4-FFF2-40B4-BE49-F238E27FC236}">
                <a16:creationId xmlns:a16="http://schemas.microsoft.com/office/drawing/2014/main" id="{54F02A7B-D6AC-BB4C-DACB-8633718FA195}"/>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158" name="Group 157">
          <a:extLst>
            <a:ext uri="{FF2B5EF4-FFF2-40B4-BE49-F238E27FC236}">
              <a16:creationId xmlns:a16="http://schemas.microsoft.com/office/drawing/2014/main" id="{6BEF4FE5-7B6C-A453-0893-479E1AF4E8C3}"/>
            </a:ext>
          </a:extLst>
        </xdr:cNvPr>
        <xdr:cNvGrpSpPr/>
      </xdr:nvGrpSpPr>
      <xdr:grpSpPr>
        <a:xfrm>
          <a:off x="876300" y="1203960"/>
          <a:ext cx="2159000" cy="1219200"/>
          <a:chOff x="876300" y="1203960"/>
          <a:chExt cx="2159000" cy="1219200"/>
        </a:xfrm>
      </xdr:grpSpPr>
      <xdr:sp macro="" textlink="">
        <xdr:nvSpPr>
          <xdr:cNvPr id="155" name="Rectangle: Rounded Corners 154">
            <a:extLst>
              <a:ext uri="{FF2B5EF4-FFF2-40B4-BE49-F238E27FC236}">
                <a16:creationId xmlns:a16="http://schemas.microsoft.com/office/drawing/2014/main" id="{C859E0A3-4DF3-A759-A9C1-4E961AD74A9E}"/>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6" name="TextBox 155">
            <a:extLst>
              <a:ext uri="{FF2B5EF4-FFF2-40B4-BE49-F238E27FC236}">
                <a16:creationId xmlns:a16="http://schemas.microsoft.com/office/drawing/2014/main" id="{25AC79FF-376B-84DB-C484-20F487FB7AEB}"/>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157" name="TextBox 156">
            <a:extLst>
              <a:ext uri="{FF2B5EF4-FFF2-40B4-BE49-F238E27FC236}">
                <a16:creationId xmlns:a16="http://schemas.microsoft.com/office/drawing/2014/main" id="{D0DE1303-945C-F6DC-757A-C308445C6E66}"/>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162" name="Group 161">
          <a:extLst>
            <a:ext uri="{FF2B5EF4-FFF2-40B4-BE49-F238E27FC236}">
              <a16:creationId xmlns:a16="http://schemas.microsoft.com/office/drawing/2014/main" id="{7AB2AC4B-7C29-BBD4-D7E4-0F7580E43F5A}"/>
            </a:ext>
          </a:extLst>
        </xdr:cNvPr>
        <xdr:cNvGrpSpPr/>
      </xdr:nvGrpSpPr>
      <xdr:grpSpPr>
        <a:xfrm>
          <a:off x="3238500" y="1203960"/>
          <a:ext cx="2159000" cy="1219200"/>
          <a:chOff x="3238500" y="1203960"/>
          <a:chExt cx="2159000" cy="1219200"/>
        </a:xfrm>
      </xdr:grpSpPr>
      <xdr:sp macro="" textlink="">
        <xdr:nvSpPr>
          <xdr:cNvPr id="159" name="Rectangle: Rounded Corners 158">
            <a:extLst>
              <a:ext uri="{FF2B5EF4-FFF2-40B4-BE49-F238E27FC236}">
                <a16:creationId xmlns:a16="http://schemas.microsoft.com/office/drawing/2014/main" id="{5D4156DA-01B8-361A-9771-B573606975B3}"/>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0" name="TextBox 159">
            <a:extLst>
              <a:ext uri="{FF2B5EF4-FFF2-40B4-BE49-F238E27FC236}">
                <a16:creationId xmlns:a16="http://schemas.microsoft.com/office/drawing/2014/main" id="{DD32BE6B-F3D8-2454-4F6E-85AD1759C436}"/>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161" name="TextBox 160">
            <a:extLst>
              <a:ext uri="{FF2B5EF4-FFF2-40B4-BE49-F238E27FC236}">
                <a16:creationId xmlns:a16="http://schemas.microsoft.com/office/drawing/2014/main" id="{64C7D6F3-C0EC-9C8E-32EF-7BF493C83B3E}"/>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66" name="Group 165">
          <a:extLst>
            <a:ext uri="{FF2B5EF4-FFF2-40B4-BE49-F238E27FC236}">
              <a16:creationId xmlns:a16="http://schemas.microsoft.com/office/drawing/2014/main" id="{0D29D493-34D9-0CF5-7D67-7EFEFF7B89AB}"/>
            </a:ext>
          </a:extLst>
        </xdr:cNvPr>
        <xdr:cNvGrpSpPr/>
      </xdr:nvGrpSpPr>
      <xdr:grpSpPr>
        <a:xfrm>
          <a:off x="5600700" y="1203960"/>
          <a:ext cx="2159000" cy="1219200"/>
          <a:chOff x="5600700" y="1203960"/>
          <a:chExt cx="2159000" cy="1219200"/>
        </a:xfrm>
      </xdr:grpSpPr>
      <xdr:sp macro="" textlink="">
        <xdr:nvSpPr>
          <xdr:cNvPr id="163" name="Rectangle: Rounded Corners 162">
            <a:extLst>
              <a:ext uri="{FF2B5EF4-FFF2-40B4-BE49-F238E27FC236}">
                <a16:creationId xmlns:a16="http://schemas.microsoft.com/office/drawing/2014/main" id="{6BB80B03-BFFB-071E-DA0E-BCE5F2AB451B}"/>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4" name="TextBox 163">
            <a:extLst>
              <a:ext uri="{FF2B5EF4-FFF2-40B4-BE49-F238E27FC236}">
                <a16:creationId xmlns:a16="http://schemas.microsoft.com/office/drawing/2014/main" id="{AA333494-C14A-3280-08DC-DDC7CCD58146}"/>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65" name="TextBox 164">
            <a:extLst>
              <a:ext uri="{FF2B5EF4-FFF2-40B4-BE49-F238E27FC236}">
                <a16:creationId xmlns:a16="http://schemas.microsoft.com/office/drawing/2014/main" id="{0A085DA0-ED38-8500-8718-418226A5FBE0}"/>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70" name="Group 169">
          <a:extLst>
            <a:ext uri="{FF2B5EF4-FFF2-40B4-BE49-F238E27FC236}">
              <a16:creationId xmlns:a16="http://schemas.microsoft.com/office/drawing/2014/main" id="{515BDA39-4F59-3EFE-FCE1-353C50EE50C8}"/>
            </a:ext>
          </a:extLst>
        </xdr:cNvPr>
        <xdr:cNvGrpSpPr/>
      </xdr:nvGrpSpPr>
      <xdr:grpSpPr>
        <a:xfrm>
          <a:off x="7962900" y="1203960"/>
          <a:ext cx="2159000" cy="1219200"/>
          <a:chOff x="7962900" y="1203960"/>
          <a:chExt cx="2159000" cy="1219200"/>
        </a:xfrm>
      </xdr:grpSpPr>
      <xdr:sp macro="" textlink="">
        <xdr:nvSpPr>
          <xdr:cNvPr id="167" name="Rectangle: Rounded Corners 166">
            <a:extLst>
              <a:ext uri="{FF2B5EF4-FFF2-40B4-BE49-F238E27FC236}">
                <a16:creationId xmlns:a16="http://schemas.microsoft.com/office/drawing/2014/main" id="{F69235D8-F24C-22B5-02E0-F92929159DE1}"/>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8" name="TextBox 167">
            <a:extLst>
              <a:ext uri="{FF2B5EF4-FFF2-40B4-BE49-F238E27FC236}">
                <a16:creationId xmlns:a16="http://schemas.microsoft.com/office/drawing/2014/main" id="{D327CA8B-1F52-4116-71AA-C820706533E6}"/>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69" name="TextBox 168">
            <a:extLst>
              <a:ext uri="{FF2B5EF4-FFF2-40B4-BE49-F238E27FC236}">
                <a16:creationId xmlns:a16="http://schemas.microsoft.com/office/drawing/2014/main" id="{BF7897B9-69E1-CEC7-55BC-D8515607D126}"/>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37" name="Group 36">
          <a:extLst>
            <a:ext uri="{FF2B5EF4-FFF2-40B4-BE49-F238E27FC236}">
              <a16:creationId xmlns:a16="http://schemas.microsoft.com/office/drawing/2014/main" id="{77B68ECE-B981-A725-3565-5FCD73A58DD3}"/>
            </a:ext>
          </a:extLst>
        </xdr:cNvPr>
        <xdr:cNvGrpSpPr/>
      </xdr:nvGrpSpPr>
      <xdr:grpSpPr>
        <a:xfrm>
          <a:off x="876300" y="1203960"/>
          <a:ext cx="2159000" cy="1219200"/>
          <a:chOff x="876300" y="1203960"/>
          <a:chExt cx="2159000" cy="1219200"/>
        </a:xfrm>
      </xdr:grpSpPr>
      <xdr:sp macro="" textlink="">
        <xdr:nvSpPr>
          <xdr:cNvPr id="34" name="Rectangle: Rounded Corners 33">
            <a:extLst>
              <a:ext uri="{FF2B5EF4-FFF2-40B4-BE49-F238E27FC236}">
                <a16:creationId xmlns:a16="http://schemas.microsoft.com/office/drawing/2014/main" id="{9A62A9DF-F5EC-1E84-BC6B-7541B4655D00}"/>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TextBox 34">
            <a:extLst>
              <a:ext uri="{FF2B5EF4-FFF2-40B4-BE49-F238E27FC236}">
                <a16:creationId xmlns:a16="http://schemas.microsoft.com/office/drawing/2014/main" id="{CD021C7E-128E-E6F8-4019-5F287C32E30E}"/>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36" name="TextBox 35">
            <a:extLst>
              <a:ext uri="{FF2B5EF4-FFF2-40B4-BE49-F238E27FC236}">
                <a16:creationId xmlns:a16="http://schemas.microsoft.com/office/drawing/2014/main" id="{7D8E5131-BB5D-06E7-EFBF-F4204697AD80}"/>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57" name="Group 56">
          <a:extLst>
            <a:ext uri="{FF2B5EF4-FFF2-40B4-BE49-F238E27FC236}">
              <a16:creationId xmlns:a16="http://schemas.microsoft.com/office/drawing/2014/main" id="{28BCE815-C8BB-77AA-BE8F-622D39A19F4F}"/>
            </a:ext>
          </a:extLst>
        </xdr:cNvPr>
        <xdr:cNvGrpSpPr/>
      </xdr:nvGrpSpPr>
      <xdr:grpSpPr>
        <a:xfrm>
          <a:off x="3238500" y="1203960"/>
          <a:ext cx="2159000" cy="1219200"/>
          <a:chOff x="3238500" y="1203960"/>
          <a:chExt cx="2159000" cy="1219200"/>
        </a:xfrm>
      </xdr:grpSpPr>
      <xdr:sp macro="" textlink="">
        <xdr:nvSpPr>
          <xdr:cNvPr id="38" name="Rectangle: Rounded Corners 37">
            <a:extLst>
              <a:ext uri="{FF2B5EF4-FFF2-40B4-BE49-F238E27FC236}">
                <a16:creationId xmlns:a16="http://schemas.microsoft.com/office/drawing/2014/main" id="{C3EB873E-B033-B122-3F91-9FCAF844A3F8}"/>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FDF168E9-CC9E-63C3-C71C-AE391ECF2589}"/>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56" name="TextBox 55">
            <a:extLst>
              <a:ext uri="{FF2B5EF4-FFF2-40B4-BE49-F238E27FC236}">
                <a16:creationId xmlns:a16="http://schemas.microsoft.com/office/drawing/2014/main" id="{09771FB8-32FA-7058-E351-9DB683FD9795}"/>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61" name="Group 60">
          <a:extLst>
            <a:ext uri="{FF2B5EF4-FFF2-40B4-BE49-F238E27FC236}">
              <a16:creationId xmlns:a16="http://schemas.microsoft.com/office/drawing/2014/main" id="{F7CB7F4B-D3AA-F8AC-8A5F-822FB5E927D7}"/>
            </a:ext>
          </a:extLst>
        </xdr:cNvPr>
        <xdr:cNvGrpSpPr/>
      </xdr:nvGrpSpPr>
      <xdr:grpSpPr>
        <a:xfrm>
          <a:off x="5600700" y="1203960"/>
          <a:ext cx="2159000" cy="1219200"/>
          <a:chOff x="5600700" y="1203960"/>
          <a:chExt cx="2159000" cy="1219200"/>
        </a:xfrm>
      </xdr:grpSpPr>
      <xdr:sp macro="" textlink="">
        <xdr:nvSpPr>
          <xdr:cNvPr id="58" name="Rectangle: Rounded Corners 57">
            <a:extLst>
              <a:ext uri="{FF2B5EF4-FFF2-40B4-BE49-F238E27FC236}">
                <a16:creationId xmlns:a16="http://schemas.microsoft.com/office/drawing/2014/main" id="{6E710C9D-77BE-A84C-0EB5-8FFE0DF453CD}"/>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TextBox 58">
            <a:extLst>
              <a:ext uri="{FF2B5EF4-FFF2-40B4-BE49-F238E27FC236}">
                <a16:creationId xmlns:a16="http://schemas.microsoft.com/office/drawing/2014/main" id="{AB40F473-A831-28A9-EAEA-AA478714F8B3}"/>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60" name="TextBox 59">
            <a:extLst>
              <a:ext uri="{FF2B5EF4-FFF2-40B4-BE49-F238E27FC236}">
                <a16:creationId xmlns:a16="http://schemas.microsoft.com/office/drawing/2014/main" id="{150ABF74-F523-B847-FD0B-0103E4F23C57}"/>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81" name="Group 80">
          <a:extLst>
            <a:ext uri="{FF2B5EF4-FFF2-40B4-BE49-F238E27FC236}">
              <a16:creationId xmlns:a16="http://schemas.microsoft.com/office/drawing/2014/main" id="{3CB500BC-40B0-85F7-A503-5DE3625E19A0}"/>
            </a:ext>
          </a:extLst>
        </xdr:cNvPr>
        <xdr:cNvGrpSpPr/>
      </xdr:nvGrpSpPr>
      <xdr:grpSpPr>
        <a:xfrm>
          <a:off x="7962900" y="1203960"/>
          <a:ext cx="2159000" cy="1219200"/>
          <a:chOff x="7962900" y="1203960"/>
          <a:chExt cx="2159000" cy="1219200"/>
        </a:xfrm>
      </xdr:grpSpPr>
      <xdr:sp macro="" textlink="">
        <xdr:nvSpPr>
          <xdr:cNvPr id="78" name="Rectangle: Rounded Corners 77">
            <a:extLst>
              <a:ext uri="{FF2B5EF4-FFF2-40B4-BE49-F238E27FC236}">
                <a16:creationId xmlns:a16="http://schemas.microsoft.com/office/drawing/2014/main" id="{9DA83977-CC69-1E0E-DF45-2F79BC42D0ED}"/>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a:extLst>
              <a:ext uri="{FF2B5EF4-FFF2-40B4-BE49-F238E27FC236}">
                <a16:creationId xmlns:a16="http://schemas.microsoft.com/office/drawing/2014/main" id="{96625453-5778-01D8-DC2A-F28E18F0C1C2}"/>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80" name="TextBox 79">
            <a:extLst>
              <a:ext uri="{FF2B5EF4-FFF2-40B4-BE49-F238E27FC236}">
                <a16:creationId xmlns:a16="http://schemas.microsoft.com/office/drawing/2014/main" id="{BE5C7083-720D-B336-546D-F82E504DBF96}"/>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101" name="Group 100">
          <a:extLst>
            <a:ext uri="{FF2B5EF4-FFF2-40B4-BE49-F238E27FC236}">
              <a16:creationId xmlns:a16="http://schemas.microsoft.com/office/drawing/2014/main" id="{A6DCA735-945D-9CF8-6349-4FB64619D902}"/>
            </a:ext>
          </a:extLst>
        </xdr:cNvPr>
        <xdr:cNvGrpSpPr/>
      </xdr:nvGrpSpPr>
      <xdr:grpSpPr>
        <a:xfrm>
          <a:off x="876300" y="1203960"/>
          <a:ext cx="2159000" cy="1219200"/>
          <a:chOff x="876300" y="1203960"/>
          <a:chExt cx="2159000" cy="1219200"/>
        </a:xfrm>
      </xdr:grpSpPr>
      <xdr:sp macro="" textlink="">
        <xdr:nvSpPr>
          <xdr:cNvPr id="82" name="Rectangle: Rounded Corners 81">
            <a:extLst>
              <a:ext uri="{FF2B5EF4-FFF2-40B4-BE49-F238E27FC236}">
                <a16:creationId xmlns:a16="http://schemas.microsoft.com/office/drawing/2014/main" id="{43B44AEB-25FE-DD9B-FC05-D4BCF897B1A9}"/>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a:extLst>
              <a:ext uri="{FF2B5EF4-FFF2-40B4-BE49-F238E27FC236}">
                <a16:creationId xmlns:a16="http://schemas.microsoft.com/office/drawing/2014/main" id="{74824804-0A2C-73A8-B9C7-8DDD1CCDA2D5}"/>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100" name="TextBox 99">
            <a:extLst>
              <a:ext uri="{FF2B5EF4-FFF2-40B4-BE49-F238E27FC236}">
                <a16:creationId xmlns:a16="http://schemas.microsoft.com/office/drawing/2014/main" id="{481F8CCC-454B-89E0-F42B-706BD6F5C838}"/>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105" name="Group 104">
          <a:extLst>
            <a:ext uri="{FF2B5EF4-FFF2-40B4-BE49-F238E27FC236}">
              <a16:creationId xmlns:a16="http://schemas.microsoft.com/office/drawing/2014/main" id="{10510E3D-B47F-972E-039C-2011CBC365EB}"/>
            </a:ext>
          </a:extLst>
        </xdr:cNvPr>
        <xdr:cNvGrpSpPr/>
      </xdr:nvGrpSpPr>
      <xdr:grpSpPr>
        <a:xfrm>
          <a:off x="3238500" y="1203960"/>
          <a:ext cx="2159000" cy="1219200"/>
          <a:chOff x="3238500" y="1203960"/>
          <a:chExt cx="2159000" cy="1219200"/>
        </a:xfrm>
      </xdr:grpSpPr>
      <xdr:sp macro="" textlink="">
        <xdr:nvSpPr>
          <xdr:cNvPr id="102" name="Rectangle: Rounded Corners 101">
            <a:extLst>
              <a:ext uri="{FF2B5EF4-FFF2-40B4-BE49-F238E27FC236}">
                <a16:creationId xmlns:a16="http://schemas.microsoft.com/office/drawing/2014/main" id="{52C91985-D1B2-CB31-9EEB-B97818D7819D}"/>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 name="TextBox 102">
            <a:extLst>
              <a:ext uri="{FF2B5EF4-FFF2-40B4-BE49-F238E27FC236}">
                <a16:creationId xmlns:a16="http://schemas.microsoft.com/office/drawing/2014/main" id="{FDC0693D-18A5-141E-28A5-6E6959BB6C80}"/>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104" name="TextBox 103">
            <a:extLst>
              <a:ext uri="{FF2B5EF4-FFF2-40B4-BE49-F238E27FC236}">
                <a16:creationId xmlns:a16="http://schemas.microsoft.com/office/drawing/2014/main" id="{21EFA7E9-2A59-281D-A1A1-F0B6C1E50E99}"/>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25" name="Group 124">
          <a:extLst>
            <a:ext uri="{FF2B5EF4-FFF2-40B4-BE49-F238E27FC236}">
              <a16:creationId xmlns:a16="http://schemas.microsoft.com/office/drawing/2014/main" id="{B7517436-1D9F-CAC4-C67E-3D35B1357A46}"/>
            </a:ext>
          </a:extLst>
        </xdr:cNvPr>
        <xdr:cNvGrpSpPr/>
      </xdr:nvGrpSpPr>
      <xdr:grpSpPr>
        <a:xfrm>
          <a:off x="5600700" y="1203960"/>
          <a:ext cx="2159000" cy="1219200"/>
          <a:chOff x="5600700" y="1203960"/>
          <a:chExt cx="2159000" cy="1219200"/>
        </a:xfrm>
      </xdr:grpSpPr>
      <xdr:sp macro="" textlink="">
        <xdr:nvSpPr>
          <xdr:cNvPr id="122" name="Rectangle: Rounded Corners 121">
            <a:extLst>
              <a:ext uri="{FF2B5EF4-FFF2-40B4-BE49-F238E27FC236}">
                <a16:creationId xmlns:a16="http://schemas.microsoft.com/office/drawing/2014/main" id="{AA9A0D02-7F26-B38C-A3BC-49B594F915A2}"/>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 name="TextBox 122">
            <a:extLst>
              <a:ext uri="{FF2B5EF4-FFF2-40B4-BE49-F238E27FC236}">
                <a16:creationId xmlns:a16="http://schemas.microsoft.com/office/drawing/2014/main" id="{FFE65835-B932-72E9-9224-5687AB789EEF}"/>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24" name="TextBox 123">
            <a:extLst>
              <a:ext uri="{FF2B5EF4-FFF2-40B4-BE49-F238E27FC236}">
                <a16:creationId xmlns:a16="http://schemas.microsoft.com/office/drawing/2014/main" id="{88D4908B-E0A3-350C-EC15-3B678F688AB3}"/>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29" name="Group 128">
          <a:extLst>
            <a:ext uri="{FF2B5EF4-FFF2-40B4-BE49-F238E27FC236}">
              <a16:creationId xmlns:a16="http://schemas.microsoft.com/office/drawing/2014/main" id="{98B8D3AF-DCE3-6D9A-BA32-B890BA33D8CB}"/>
            </a:ext>
          </a:extLst>
        </xdr:cNvPr>
        <xdr:cNvGrpSpPr/>
      </xdr:nvGrpSpPr>
      <xdr:grpSpPr>
        <a:xfrm>
          <a:off x="7962900" y="1203960"/>
          <a:ext cx="2159000" cy="1219200"/>
          <a:chOff x="7962900" y="1203960"/>
          <a:chExt cx="2159000" cy="1219200"/>
        </a:xfrm>
      </xdr:grpSpPr>
      <xdr:sp macro="" textlink="">
        <xdr:nvSpPr>
          <xdr:cNvPr id="126" name="Rectangle: Rounded Corners 125">
            <a:extLst>
              <a:ext uri="{FF2B5EF4-FFF2-40B4-BE49-F238E27FC236}">
                <a16:creationId xmlns:a16="http://schemas.microsoft.com/office/drawing/2014/main" id="{B7A79A26-7366-4439-D42C-4DEC82A33C41}"/>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7" name="TextBox 126">
            <a:extLst>
              <a:ext uri="{FF2B5EF4-FFF2-40B4-BE49-F238E27FC236}">
                <a16:creationId xmlns:a16="http://schemas.microsoft.com/office/drawing/2014/main" id="{9FAD0EAA-5FAC-9015-767E-F2DEBCEE70D6}"/>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28" name="TextBox 127">
            <a:extLst>
              <a:ext uri="{FF2B5EF4-FFF2-40B4-BE49-F238E27FC236}">
                <a16:creationId xmlns:a16="http://schemas.microsoft.com/office/drawing/2014/main" id="{5ADBA637-CAEE-E418-022D-36AE0DB8CCFA}"/>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182" name="Group 181">
          <a:extLst>
            <a:ext uri="{FF2B5EF4-FFF2-40B4-BE49-F238E27FC236}">
              <a16:creationId xmlns:a16="http://schemas.microsoft.com/office/drawing/2014/main" id="{3082CA34-9140-E7A2-01BB-6432128339C7}"/>
            </a:ext>
          </a:extLst>
        </xdr:cNvPr>
        <xdr:cNvGrpSpPr/>
      </xdr:nvGrpSpPr>
      <xdr:grpSpPr>
        <a:xfrm>
          <a:off x="876300" y="1203960"/>
          <a:ext cx="2159000" cy="1219200"/>
          <a:chOff x="876300" y="1203960"/>
          <a:chExt cx="2159000" cy="1219200"/>
        </a:xfrm>
      </xdr:grpSpPr>
      <xdr:sp macro="" textlink="">
        <xdr:nvSpPr>
          <xdr:cNvPr id="179" name="Rectangle: Rounded Corners 178">
            <a:extLst>
              <a:ext uri="{FF2B5EF4-FFF2-40B4-BE49-F238E27FC236}">
                <a16:creationId xmlns:a16="http://schemas.microsoft.com/office/drawing/2014/main" id="{C5C68DAC-A741-4789-E48C-68CAF080E9A4}"/>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0" name="TextBox 179">
            <a:extLst>
              <a:ext uri="{FF2B5EF4-FFF2-40B4-BE49-F238E27FC236}">
                <a16:creationId xmlns:a16="http://schemas.microsoft.com/office/drawing/2014/main" id="{30C0D67C-2590-C792-EDA6-8070AE31EFA0}"/>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181" name="TextBox 180">
            <a:extLst>
              <a:ext uri="{FF2B5EF4-FFF2-40B4-BE49-F238E27FC236}">
                <a16:creationId xmlns:a16="http://schemas.microsoft.com/office/drawing/2014/main" id="{F4CB80B6-B026-3048-E1E9-C3F1441F858F}"/>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186" name="Group 185">
          <a:extLst>
            <a:ext uri="{FF2B5EF4-FFF2-40B4-BE49-F238E27FC236}">
              <a16:creationId xmlns:a16="http://schemas.microsoft.com/office/drawing/2014/main" id="{84B5B224-8653-D069-B83E-61F9EA5CF216}"/>
            </a:ext>
          </a:extLst>
        </xdr:cNvPr>
        <xdr:cNvGrpSpPr/>
      </xdr:nvGrpSpPr>
      <xdr:grpSpPr>
        <a:xfrm>
          <a:off x="3238500" y="1203960"/>
          <a:ext cx="2159000" cy="1219200"/>
          <a:chOff x="3238500" y="1203960"/>
          <a:chExt cx="2159000" cy="1219200"/>
        </a:xfrm>
      </xdr:grpSpPr>
      <xdr:sp macro="" textlink="">
        <xdr:nvSpPr>
          <xdr:cNvPr id="183" name="Rectangle: Rounded Corners 182">
            <a:extLst>
              <a:ext uri="{FF2B5EF4-FFF2-40B4-BE49-F238E27FC236}">
                <a16:creationId xmlns:a16="http://schemas.microsoft.com/office/drawing/2014/main" id="{A8E900C9-DE2A-5648-78F3-3AD4D4DD4DF5}"/>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4" name="TextBox 183">
            <a:extLst>
              <a:ext uri="{FF2B5EF4-FFF2-40B4-BE49-F238E27FC236}">
                <a16:creationId xmlns:a16="http://schemas.microsoft.com/office/drawing/2014/main" id="{252D416A-50A6-12BC-1E93-17770229EDBC}"/>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185" name="TextBox 184">
            <a:extLst>
              <a:ext uri="{FF2B5EF4-FFF2-40B4-BE49-F238E27FC236}">
                <a16:creationId xmlns:a16="http://schemas.microsoft.com/office/drawing/2014/main" id="{7378E6A4-5402-7E15-51EA-BA4C09E22AC6}"/>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90" name="Group 189">
          <a:extLst>
            <a:ext uri="{FF2B5EF4-FFF2-40B4-BE49-F238E27FC236}">
              <a16:creationId xmlns:a16="http://schemas.microsoft.com/office/drawing/2014/main" id="{F4909EEF-AD89-F2A4-19A8-2FD04A9037CB}"/>
            </a:ext>
          </a:extLst>
        </xdr:cNvPr>
        <xdr:cNvGrpSpPr/>
      </xdr:nvGrpSpPr>
      <xdr:grpSpPr>
        <a:xfrm>
          <a:off x="5600700" y="1203960"/>
          <a:ext cx="2159000" cy="1219200"/>
          <a:chOff x="5600700" y="1203960"/>
          <a:chExt cx="2159000" cy="1219200"/>
        </a:xfrm>
      </xdr:grpSpPr>
      <xdr:sp macro="" textlink="">
        <xdr:nvSpPr>
          <xdr:cNvPr id="187" name="Rectangle: Rounded Corners 186">
            <a:extLst>
              <a:ext uri="{FF2B5EF4-FFF2-40B4-BE49-F238E27FC236}">
                <a16:creationId xmlns:a16="http://schemas.microsoft.com/office/drawing/2014/main" id="{1D2C2ABF-B293-AABD-7D93-28620EBB7DC4}"/>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TextBox 187">
            <a:extLst>
              <a:ext uri="{FF2B5EF4-FFF2-40B4-BE49-F238E27FC236}">
                <a16:creationId xmlns:a16="http://schemas.microsoft.com/office/drawing/2014/main" id="{10E68F9C-29B4-B9B9-25ED-33121D1B52D9}"/>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89" name="TextBox 188">
            <a:extLst>
              <a:ext uri="{FF2B5EF4-FFF2-40B4-BE49-F238E27FC236}">
                <a16:creationId xmlns:a16="http://schemas.microsoft.com/office/drawing/2014/main" id="{22B9A38B-35FB-ECC2-BD3D-7BD75D5C35B7}"/>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94" name="Group 193">
          <a:extLst>
            <a:ext uri="{FF2B5EF4-FFF2-40B4-BE49-F238E27FC236}">
              <a16:creationId xmlns:a16="http://schemas.microsoft.com/office/drawing/2014/main" id="{365FABAD-688A-F344-A0B1-C01F7E705562}"/>
            </a:ext>
          </a:extLst>
        </xdr:cNvPr>
        <xdr:cNvGrpSpPr/>
      </xdr:nvGrpSpPr>
      <xdr:grpSpPr>
        <a:xfrm>
          <a:off x="7962900" y="1203960"/>
          <a:ext cx="2159000" cy="1219200"/>
          <a:chOff x="7962900" y="1203960"/>
          <a:chExt cx="2159000" cy="1219200"/>
        </a:xfrm>
      </xdr:grpSpPr>
      <xdr:sp macro="" textlink="">
        <xdr:nvSpPr>
          <xdr:cNvPr id="191" name="Rectangle: Rounded Corners 190">
            <a:extLst>
              <a:ext uri="{FF2B5EF4-FFF2-40B4-BE49-F238E27FC236}">
                <a16:creationId xmlns:a16="http://schemas.microsoft.com/office/drawing/2014/main" id="{45811C16-A875-B209-A99A-908F3C258CD2}"/>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2" name="TextBox 191">
            <a:extLst>
              <a:ext uri="{FF2B5EF4-FFF2-40B4-BE49-F238E27FC236}">
                <a16:creationId xmlns:a16="http://schemas.microsoft.com/office/drawing/2014/main" id="{97BA8937-B6AE-90E1-CD7B-221D61B29473}"/>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93" name="TextBox 192">
            <a:extLst>
              <a:ext uri="{FF2B5EF4-FFF2-40B4-BE49-F238E27FC236}">
                <a16:creationId xmlns:a16="http://schemas.microsoft.com/office/drawing/2014/main" id="{BAEB904F-538D-BDC3-A937-560C88F4EDDF}"/>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149" name="Group 148">
          <a:extLst>
            <a:ext uri="{FF2B5EF4-FFF2-40B4-BE49-F238E27FC236}">
              <a16:creationId xmlns:a16="http://schemas.microsoft.com/office/drawing/2014/main" id="{A6209045-140C-8BA8-A4F1-B7E022AD8FE9}"/>
            </a:ext>
          </a:extLst>
        </xdr:cNvPr>
        <xdr:cNvGrpSpPr/>
      </xdr:nvGrpSpPr>
      <xdr:grpSpPr>
        <a:xfrm>
          <a:off x="876300" y="1203960"/>
          <a:ext cx="2159000" cy="1219200"/>
          <a:chOff x="876300" y="1203960"/>
          <a:chExt cx="2159000" cy="1219200"/>
        </a:xfrm>
      </xdr:grpSpPr>
      <xdr:sp macro="" textlink="">
        <xdr:nvSpPr>
          <xdr:cNvPr id="130" name="Rectangle: Rounded Corners 129">
            <a:extLst>
              <a:ext uri="{FF2B5EF4-FFF2-40B4-BE49-F238E27FC236}">
                <a16:creationId xmlns:a16="http://schemas.microsoft.com/office/drawing/2014/main" id="{E073C7CB-FA65-5112-2661-5548AA4EAFB3}"/>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TextBox 130">
            <a:extLst>
              <a:ext uri="{FF2B5EF4-FFF2-40B4-BE49-F238E27FC236}">
                <a16:creationId xmlns:a16="http://schemas.microsoft.com/office/drawing/2014/main" id="{55D95FC3-C5B5-CA31-C850-C6887EDF8DDB}"/>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132" name="TextBox 131">
            <a:extLst>
              <a:ext uri="{FF2B5EF4-FFF2-40B4-BE49-F238E27FC236}">
                <a16:creationId xmlns:a16="http://schemas.microsoft.com/office/drawing/2014/main" id="{39A08758-89DF-C973-423F-AFFB816F2F53}"/>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153" name="Group 152">
          <a:extLst>
            <a:ext uri="{FF2B5EF4-FFF2-40B4-BE49-F238E27FC236}">
              <a16:creationId xmlns:a16="http://schemas.microsoft.com/office/drawing/2014/main" id="{FE0B5304-E8E3-8B5C-DB38-7826C74301C3}"/>
            </a:ext>
          </a:extLst>
        </xdr:cNvPr>
        <xdr:cNvGrpSpPr/>
      </xdr:nvGrpSpPr>
      <xdr:grpSpPr>
        <a:xfrm>
          <a:off x="3238500" y="1203960"/>
          <a:ext cx="2159000" cy="1219200"/>
          <a:chOff x="3238500" y="1203960"/>
          <a:chExt cx="2159000" cy="1219200"/>
        </a:xfrm>
      </xdr:grpSpPr>
      <xdr:sp macro="" textlink="">
        <xdr:nvSpPr>
          <xdr:cNvPr id="150" name="Rectangle: Rounded Corners 149">
            <a:extLst>
              <a:ext uri="{FF2B5EF4-FFF2-40B4-BE49-F238E27FC236}">
                <a16:creationId xmlns:a16="http://schemas.microsoft.com/office/drawing/2014/main" id="{E45E17C3-8123-529D-C1DF-2F4B2B11B3BB}"/>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1" name="TextBox 150">
            <a:extLst>
              <a:ext uri="{FF2B5EF4-FFF2-40B4-BE49-F238E27FC236}">
                <a16:creationId xmlns:a16="http://schemas.microsoft.com/office/drawing/2014/main" id="{9FE55273-EDDC-F457-DD62-C5D2FDD66E38}"/>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152" name="TextBox 151">
            <a:extLst>
              <a:ext uri="{FF2B5EF4-FFF2-40B4-BE49-F238E27FC236}">
                <a16:creationId xmlns:a16="http://schemas.microsoft.com/office/drawing/2014/main" id="{D576887C-F37C-EADE-568F-FF96C47D0461}"/>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173" name="Group 172">
          <a:extLst>
            <a:ext uri="{FF2B5EF4-FFF2-40B4-BE49-F238E27FC236}">
              <a16:creationId xmlns:a16="http://schemas.microsoft.com/office/drawing/2014/main" id="{2160B170-5B15-809C-3AF1-4506DBADC81F}"/>
            </a:ext>
          </a:extLst>
        </xdr:cNvPr>
        <xdr:cNvGrpSpPr/>
      </xdr:nvGrpSpPr>
      <xdr:grpSpPr>
        <a:xfrm>
          <a:off x="5600700" y="1203960"/>
          <a:ext cx="2159000" cy="1219200"/>
          <a:chOff x="5600700" y="1203960"/>
          <a:chExt cx="2159000" cy="1219200"/>
        </a:xfrm>
      </xdr:grpSpPr>
      <xdr:sp macro="" textlink="">
        <xdr:nvSpPr>
          <xdr:cNvPr id="154" name="Rectangle: Rounded Corners 153">
            <a:extLst>
              <a:ext uri="{FF2B5EF4-FFF2-40B4-BE49-F238E27FC236}">
                <a16:creationId xmlns:a16="http://schemas.microsoft.com/office/drawing/2014/main" id="{CF963BE4-256D-9983-1F70-EB4197B6EAD8}"/>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1" name="TextBox 170">
            <a:extLst>
              <a:ext uri="{FF2B5EF4-FFF2-40B4-BE49-F238E27FC236}">
                <a16:creationId xmlns:a16="http://schemas.microsoft.com/office/drawing/2014/main" id="{6BDF954F-E525-5B75-9875-B2C9F3F1FCFB}"/>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172" name="TextBox 171">
            <a:extLst>
              <a:ext uri="{FF2B5EF4-FFF2-40B4-BE49-F238E27FC236}">
                <a16:creationId xmlns:a16="http://schemas.microsoft.com/office/drawing/2014/main" id="{FD4789C4-5F55-729D-0E63-668124EBA020}"/>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177" name="Group 176">
          <a:extLst>
            <a:ext uri="{FF2B5EF4-FFF2-40B4-BE49-F238E27FC236}">
              <a16:creationId xmlns:a16="http://schemas.microsoft.com/office/drawing/2014/main" id="{FD094D18-1504-12A3-822E-64AA2DE437B1}"/>
            </a:ext>
          </a:extLst>
        </xdr:cNvPr>
        <xdr:cNvGrpSpPr/>
      </xdr:nvGrpSpPr>
      <xdr:grpSpPr>
        <a:xfrm>
          <a:off x="7962900" y="1203960"/>
          <a:ext cx="2159000" cy="1219200"/>
          <a:chOff x="7962900" y="1203960"/>
          <a:chExt cx="2159000" cy="1219200"/>
        </a:xfrm>
      </xdr:grpSpPr>
      <xdr:sp macro="" textlink="">
        <xdr:nvSpPr>
          <xdr:cNvPr id="174" name="Rectangle: Rounded Corners 173">
            <a:extLst>
              <a:ext uri="{FF2B5EF4-FFF2-40B4-BE49-F238E27FC236}">
                <a16:creationId xmlns:a16="http://schemas.microsoft.com/office/drawing/2014/main" id="{35F8E456-7F4B-5328-4FCE-3F011BF9589D}"/>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5" name="TextBox 174">
            <a:extLst>
              <a:ext uri="{FF2B5EF4-FFF2-40B4-BE49-F238E27FC236}">
                <a16:creationId xmlns:a16="http://schemas.microsoft.com/office/drawing/2014/main" id="{6CA93AE8-4107-CD1D-9ECE-0C7FD4473E0B}"/>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176" name="TextBox 175">
            <a:extLst>
              <a:ext uri="{FF2B5EF4-FFF2-40B4-BE49-F238E27FC236}">
                <a16:creationId xmlns:a16="http://schemas.microsoft.com/office/drawing/2014/main" id="{0320C7B9-C976-1CF8-5575-5B93A852F31F}"/>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editAs="oneCell">
    <xdr:from>
      <xdr:col>8</xdr:col>
      <xdr:colOff>175260</xdr:colOff>
      <xdr:row>36</xdr:row>
      <xdr:rowOff>175260</xdr:rowOff>
    </xdr:from>
    <xdr:to>
      <xdr:col>10</xdr:col>
      <xdr:colOff>708660</xdr:colOff>
      <xdr:row>45</xdr:row>
      <xdr:rowOff>53340</xdr:rowOff>
    </xdr:to>
    <mc:AlternateContent xmlns:mc="http://schemas.openxmlformats.org/markup-compatibility/2006" xmlns:a14="http://schemas.microsoft.com/office/drawing/2010/main">
      <mc:Choice Requires="a14">
        <xdr:graphicFrame macro="">
          <xdr:nvGraphicFramePr>
            <xdr:cNvPr id="205" name="slcRegion">
              <a:extLst>
                <a:ext uri="{FF2B5EF4-FFF2-40B4-BE49-F238E27FC236}">
                  <a16:creationId xmlns:a16="http://schemas.microsoft.com/office/drawing/2014/main" id="{389A84CA-3031-0E0D-BBB6-9589FFD40E58}"/>
                </a:ext>
              </a:extLst>
            </xdr:cNvPr>
            <xdr:cNvGraphicFramePr/>
          </xdr:nvGraphicFramePr>
          <xdr:xfrm>
            <a:off x="0" y="0"/>
            <a:ext cx="0" cy="0"/>
          </xdr:xfrm>
          <a:graphic>
            <a:graphicData uri="http://schemas.microsoft.com/office/drawing/2010/slicer">
              <sle:slicer xmlns:sle="http://schemas.microsoft.com/office/drawing/2010/slicer" name="slcRegion"/>
            </a:graphicData>
          </a:graphic>
        </xdr:graphicFrame>
      </mc:Choice>
      <mc:Fallback xmlns="">
        <xdr:sp macro="" textlink="">
          <xdr:nvSpPr>
            <xdr:cNvPr id="0" name=""/>
            <xdr:cNvSpPr>
              <a:spLocks noTextEdit="1"/>
            </xdr:cNvSpPr>
          </xdr:nvSpPr>
          <xdr:spPr>
            <a:xfrm>
              <a:off x="7185660" y="7231380"/>
              <a:ext cx="22860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167640</xdr:colOff>
      <xdr:row>28</xdr:row>
      <xdr:rowOff>76200</xdr:rowOff>
    </xdr:from>
    <xdr:to>
      <xdr:col>11</xdr:col>
      <xdr:colOff>332740</xdr:colOff>
      <xdr:row>36</xdr:row>
      <xdr:rowOff>137160</xdr:rowOff>
    </xdr:to>
    <mc:AlternateContent xmlns:mc="http://schemas.openxmlformats.org/markup-compatibility/2006" xmlns:a14="http://schemas.microsoft.com/office/drawing/2010/main">
      <mc:Choice Requires="a14">
        <xdr:graphicFrame macro="">
          <xdr:nvGraphicFramePr>
            <xdr:cNvPr id="206" name="slcAccount">
              <a:extLst>
                <a:ext uri="{FF2B5EF4-FFF2-40B4-BE49-F238E27FC236}">
                  <a16:creationId xmlns:a16="http://schemas.microsoft.com/office/drawing/2014/main" id="{EAF7A76B-68D5-C45F-143E-EF7F783A9096}"/>
                </a:ext>
              </a:extLst>
            </xdr:cNvPr>
            <xdr:cNvGraphicFramePr/>
          </xdr:nvGraphicFramePr>
          <xdr:xfrm>
            <a:off x="0" y="0"/>
            <a:ext cx="0" cy="0"/>
          </xdr:xfrm>
          <a:graphic>
            <a:graphicData uri="http://schemas.microsoft.com/office/drawing/2010/slicer">
              <sle:slicer xmlns:sle="http://schemas.microsoft.com/office/drawing/2010/slicer" name="slcAccount"/>
            </a:graphicData>
          </a:graphic>
        </xdr:graphicFrame>
      </mc:Choice>
      <mc:Fallback xmlns="">
        <xdr:sp macro="" textlink="">
          <xdr:nvSpPr>
            <xdr:cNvPr id="0" name=""/>
            <xdr:cNvSpPr>
              <a:spLocks noTextEdit="1"/>
            </xdr:cNvSpPr>
          </xdr:nvSpPr>
          <xdr:spPr>
            <a:xfrm>
              <a:off x="7178040" y="5669280"/>
              <a:ext cx="27940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4</xdr:row>
      <xdr:rowOff>0</xdr:rowOff>
    </xdr:from>
    <xdr:to>
      <xdr:col>3</xdr:col>
      <xdr:colOff>406400</xdr:colOff>
      <xdr:row>10</xdr:row>
      <xdr:rowOff>121920</xdr:rowOff>
    </xdr:to>
    <xdr:grpSp>
      <xdr:nvGrpSpPr>
        <xdr:cNvPr id="211" name="Group 210">
          <a:extLst>
            <a:ext uri="{FF2B5EF4-FFF2-40B4-BE49-F238E27FC236}">
              <a16:creationId xmlns:a16="http://schemas.microsoft.com/office/drawing/2014/main" id="{D3294F17-A47B-C1F3-8378-4C77E2E6DCAB}"/>
            </a:ext>
          </a:extLst>
        </xdr:cNvPr>
        <xdr:cNvGrpSpPr/>
      </xdr:nvGrpSpPr>
      <xdr:grpSpPr>
        <a:xfrm>
          <a:off x="876300" y="1203960"/>
          <a:ext cx="2159000" cy="1219200"/>
          <a:chOff x="876300" y="1203960"/>
          <a:chExt cx="2159000" cy="1219200"/>
        </a:xfrm>
      </xdr:grpSpPr>
      <xdr:sp macro="" textlink="">
        <xdr:nvSpPr>
          <xdr:cNvPr id="208" name="Rectangle: Rounded Corners 207">
            <a:extLst>
              <a:ext uri="{FF2B5EF4-FFF2-40B4-BE49-F238E27FC236}">
                <a16:creationId xmlns:a16="http://schemas.microsoft.com/office/drawing/2014/main" id="{84627345-048E-8CF2-FE45-D6AD49E0CB00}"/>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9" name="TextBox 208">
            <a:extLst>
              <a:ext uri="{FF2B5EF4-FFF2-40B4-BE49-F238E27FC236}">
                <a16:creationId xmlns:a16="http://schemas.microsoft.com/office/drawing/2014/main" id="{B48F9DF1-D673-5845-2BF3-C67A7D29CDF2}"/>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210" name="TextBox 209">
            <a:extLst>
              <a:ext uri="{FF2B5EF4-FFF2-40B4-BE49-F238E27FC236}">
                <a16:creationId xmlns:a16="http://schemas.microsoft.com/office/drawing/2014/main" id="{2AF427E0-AB5F-1212-5807-57F95DCFEFD0}"/>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15" name="Group 214">
          <a:extLst>
            <a:ext uri="{FF2B5EF4-FFF2-40B4-BE49-F238E27FC236}">
              <a16:creationId xmlns:a16="http://schemas.microsoft.com/office/drawing/2014/main" id="{B9A9244C-F643-8783-735D-AC0035C48D9A}"/>
            </a:ext>
          </a:extLst>
        </xdr:cNvPr>
        <xdr:cNvGrpSpPr/>
      </xdr:nvGrpSpPr>
      <xdr:grpSpPr>
        <a:xfrm>
          <a:off x="3238500" y="1203960"/>
          <a:ext cx="2159000" cy="1219200"/>
          <a:chOff x="3238500" y="1203960"/>
          <a:chExt cx="2159000" cy="1219200"/>
        </a:xfrm>
      </xdr:grpSpPr>
      <xdr:sp macro="" textlink="">
        <xdr:nvSpPr>
          <xdr:cNvPr id="212" name="Rectangle: Rounded Corners 211">
            <a:extLst>
              <a:ext uri="{FF2B5EF4-FFF2-40B4-BE49-F238E27FC236}">
                <a16:creationId xmlns:a16="http://schemas.microsoft.com/office/drawing/2014/main" id="{7CAFF71E-411A-48C9-8CC0-4EBD3DD6C04A}"/>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3" name="TextBox 212">
            <a:extLst>
              <a:ext uri="{FF2B5EF4-FFF2-40B4-BE49-F238E27FC236}">
                <a16:creationId xmlns:a16="http://schemas.microsoft.com/office/drawing/2014/main" id="{6A558AC6-447B-242F-9175-F9596460BB73}"/>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214" name="TextBox 213">
            <a:extLst>
              <a:ext uri="{FF2B5EF4-FFF2-40B4-BE49-F238E27FC236}">
                <a16:creationId xmlns:a16="http://schemas.microsoft.com/office/drawing/2014/main" id="{1117AFDE-AE55-85C6-C78E-D5A190FD4863}"/>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19" name="Group 218">
          <a:extLst>
            <a:ext uri="{FF2B5EF4-FFF2-40B4-BE49-F238E27FC236}">
              <a16:creationId xmlns:a16="http://schemas.microsoft.com/office/drawing/2014/main" id="{D7390507-6869-4A5D-9217-D0670DECA586}"/>
            </a:ext>
          </a:extLst>
        </xdr:cNvPr>
        <xdr:cNvGrpSpPr/>
      </xdr:nvGrpSpPr>
      <xdr:grpSpPr>
        <a:xfrm>
          <a:off x="5600700" y="1203960"/>
          <a:ext cx="2159000" cy="1219200"/>
          <a:chOff x="5600700" y="1203960"/>
          <a:chExt cx="2159000" cy="1219200"/>
        </a:xfrm>
      </xdr:grpSpPr>
      <xdr:sp macro="" textlink="">
        <xdr:nvSpPr>
          <xdr:cNvPr id="216" name="Rectangle: Rounded Corners 215">
            <a:extLst>
              <a:ext uri="{FF2B5EF4-FFF2-40B4-BE49-F238E27FC236}">
                <a16:creationId xmlns:a16="http://schemas.microsoft.com/office/drawing/2014/main" id="{7B8F75AB-7A83-1B39-8942-11F6E4FA013C}"/>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7" name="TextBox 216">
            <a:extLst>
              <a:ext uri="{FF2B5EF4-FFF2-40B4-BE49-F238E27FC236}">
                <a16:creationId xmlns:a16="http://schemas.microsoft.com/office/drawing/2014/main" id="{5122E041-0032-89B9-8ADF-DAA25813F6DD}"/>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218" name="TextBox 217">
            <a:extLst>
              <a:ext uri="{FF2B5EF4-FFF2-40B4-BE49-F238E27FC236}">
                <a16:creationId xmlns:a16="http://schemas.microsoft.com/office/drawing/2014/main" id="{820ACAB3-443D-49AC-121F-BE87A3F9EDFE}"/>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223" name="Group 222">
          <a:extLst>
            <a:ext uri="{FF2B5EF4-FFF2-40B4-BE49-F238E27FC236}">
              <a16:creationId xmlns:a16="http://schemas.microsoft.com/office/drawing/2014/main" id="{5880A09C-29AD-E7AB-F529-4A82946F7111}"/>
            </a:ext>
          </a:extLst>
        </xdr:cNvPr>
        <xdr:cNvGrpSpPr/>
      </xdr:nvGrpSpPr>
      <xdr:grpSpPr>
        <a:xfrm>
          <a:off x="7962900" y="1203960"/>
          <a:ext cx="2159000" cy="1219200"/>
          <a:chOff x="7962900" y="1203960"/>
          <a:chExt cx="2159000" cy="1219200"/>
        </a:xfrm>
      </xdr:grpSpPr>
      <xdr:sp macro="" textlink="">
        <xdr:nvSpPr>
          <xdr:cNvPr id="220" name="Rectangle: Rounded Corners 219">
            <a:extLst>
              <a:ext uri="{FF2B5EF4-FFF2-40B4-BE49-F238E27FC236}">
                <a16:creationId xmlns:a16="http://schemas.microsoft.com/office/drawing/2014/main" id="{D2F83BA4-1E7D-B382-276A-3602E99B907D}"/>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1" name="TextBox 220">
            <a:extLst>
              <a:ext uri="{FF2B5EF4-FFF2-40B4-BE49-F238E27FC236}">
                <a16:creationId xmlns:a16="http://schemas.microsoft.com/office/drawing/2014/main" id="{B7A3C50F-36E2-3008-A9AB-7B1E613314E9}"/>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222" name="TextBox 221">
            <a:extLst>
              <a:ext uri="{FF2B5EF4-FFF2-40B4-BE49-F238E27FC236}">
                <a16:creationId xmlns:a16="http://schemas.microsoft.com/office/drawing/2014/main" id="{77AD31D6-B253-896E-94DC-0C816E3C3849}"/>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227" name="Group 226">
          <a:extLst>
            <a:ext uri="{FF2B5EF4-FFF2-40B4-BE49-F238E27FC236}">
              <a16:creationId xmlns:a16="http://schemas.microsoft.com/office/drawing/2014/main" id="{C67A4DE8-0A37-1E1D-71C0-93827A499C57}"/>
            </a:ext>
          </a:extLst>
        </xdr:cNvPr>
        <xdr:cNvGrpSpPr/>
      </xdr:nvGrpSpPr>
      <xdr:grpSpPr>
        <a:xfrm>
          <a:off x="876300" y="1203960"/>
          <a:ext cx="2159000" cy="1219200"/>
          <a:chOff x="876300" y="1203960"/>
          <a:chExt cx="2159000" cy="1219200"/>
        </a:xfrm>
      </xdr:grpSpPr>
      <xdr:sp macro="" textlink="">
        <xdr:nvSpPr>
          <xdr:cNvPr id="224" name="Rectangle: Rounded Corners 223">
            <a:extLst>
              <a:ext uri="{FF2B5EF4-FFF2-40B4-BE49-F238E27FC236}">
                <a16:creationId xmlns:a16="http://schemas.microsoft.com/office/drawing/2014/main" id="{A15DD3C7-F718-C54A-CE26-ECE527A2F958}"/>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5" name="TextBox 224">
            <a:extLst>
              <a:ext uri="{FF2B5EF4-FFF2-40B4-BE49-F238E27FC236}">
                <a16:creationId xmlns:a16="http://schemas.microsoft.com/office/drawing/2014/main" id="{0E46A6B4-73FC-0F8C-754B-1DF8097065A2}"/>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226" name="TextBox 225">
            <a:extLst>
              <a:ext uri="{FF2B5EF4-FFF2-40B4-BE49-F238E27FC236}">
                <a16:creationId xmlns:a16="http://schemas.microsoft.com/office/drawing/2014/main" id="{89CBF112-3A87-0A58-94A3-590C6FE8BAD4}"/>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31" name="Group 230">
          <a:extLst>
            <a:ext uri="{FF2B5EF4-FFF2-40B4-BE49-F238E27FC236}">
              <a16:creationId xmlns:a16="http://schemas.microsoft.com/office/drawing/2014/main" id="{15C0CC5B-8097-4A91-EF70-956F68F0EEA0}"/>
            </a:ext>
          </a:extLst>
        </xdr:cNvPr>
        <xdr:cNvGrpSpPr/>
      </xdr:nvGrpSpPr>
      <xdr:grpSpPr>
        <a:xfrm>
          <a:off x="3238500" y="1203960"/>
          <a:ext cx="2159000" cy="1219200"/>
          <a:chOff x="3238500" y="1203960"/>
          <a:chExt cx="2159000" cy="1219200"/>
        </a:xfrm>
      </xdr:grpSpPr>
      <xdr:sp macro="" textlink="">
        <xdr:nvSpPr>
          <xdr:cNvPr id="228" name="Rectangle: Rounded Corners 227">
            <a:extLst>
              <a:ext uri="{FF2B5EF4-FFF2-40B4-BE49-F238E27FC236}">
                <a16:creationId xmlns:a16="http://schemas.microsoft.com/office/drawing/2014/main" id="{2C02FD39-14A6-2776-32F3-9C0BF8972EC5}"/>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9" name="TextBox 228">
            <a:extLst>
              <a:ext uri="{FF2B5EF4-FFF2-40B4-BE49-F238E27FC236}">
                <a16:creationId xmlns:a16="http://schemas.microsoft.com/office/drawing/2014/main" id="{AA284193-F7F8-1DA6-28C3-E97CB5DEE082}"/>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230" name="TextBox 229">
            <a:extLst>
              <a:ext uri="{FF2B5EF4-FFF2-40B4-BE49-F238E27FC236}">
                <a16:creationId xmlns:a16="http://schemas.microsoft.com/office/drawing/2014/main" id="{75F4355C-2067-2EE4-5442-0B1BF15549D7}"/>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35" name="Group 234">
          <a:extLst>
            <a:ext uri="{FF2B5EF4-FFF2-40B4-BE49-F238E27FC236}">
              <a16:creationId xmlns:a16="http://schemas.microsoft.com/office/drawing/2014/main" id="{C246C25C-0EE7-97D5-60A9-5C3DE72756D6}"/>
            </a:ext>
          </a:extLst>
        </xdr:cNvPr>
        <xdr:cNvGrpSpPr/>
      </xdr:nvGrpSpPr>
      <xdr:grpSpPr>
        <a:xfrm>
          <a:off x="5600700" y="1203960"/>
          <a:ext cx="2159000" cy="1219200"/>
          <a:chOff x="5600700" y="1203960"/>
          <a:chExt cx="2159000" cy="1219200"/>
        </a:xfrm>
      </xdr:grpSpPr>
      <xdr:sp macro="" textlink="">
        <xdr:nvSpPr>
          <xdr:cNvPr id="232" name="Rectangle: Rounded Corners 231">
            <a:extLst>
              <a:ext uri="{FF2B5EF4-FFF2-40B4-BE49-F238E27FC236}">
                <a16:creationId xmlns:a16="http://schemas.microsoft.com/office/drawing/2014/main" id="{A11E2A72-80E5-609B-9BA4-57029BA3BFB8}"/>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3" name="TextBox 232">
            <a:extLst>
              <a:ext uri="{FF2B5EF4-FFF2-40B4-BE49-F238E27FC236}">
                <a16:creationId xmlns:a16="http://schemas.microsoft.com/office/drawing/2014/main" id="{0393D061-1491-B35C-F34D-D2852052BB0D}"/>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234" name="TextBox 233">
            <a:extLst>
              <a:ext uri="{FF2B5EF4-FFF2-40B4-BE49-F238E27FC236}">
                <a16:creationId xmlns:a16="http://schemas.microsoft.com/office/drawing/2014/main" id="{00F7FCBB-09E4-0CF8-0A1E-85A4BB4798A9}"/>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239" name="Group 238">
          <a:extLst>
            <a:ext uri="{FF2B5EF4-FFF2-40B4-BE49-F238E27FC236}">
              <a16:creationId xmlns:a16="http://schemas.microsoft.com/office/drawing/2014/main" id="{9305D2F0-86C3-E391-7C5F-D463492EFB19}"/>
            </a:ext>
          </a:extLst>
        </xdr:cNvPr>
        <xdr:cNvGrpSpPr/>
      </xdr:nvGrpSpPr>
      <xdr:grpSpPr>
        <a:xfrm>
          <a:off x="7962900" y="1203960"/>
          <a:ext cx="2159000" cy="1219200"/>
          <a:chOff x="7962900" y="1203960"/>
          <a:chExt cx="2159000" cy="1219200"/>
        </a:xfrm>
      </xdr:grpSpPr>
      <xdr:sp macro="" textlink="">
        <xdr:nvSpPr>
          <xdr:cNvPr id="236" name="Rectangle: Rounded Corners 235">
            <a:extLst>
              <a:ext uri="{FF2B5EF4-FFF2-40B4-BE49-F238E27FC236}">
                <a16:creationId xmlns:a16="http://schemas.microsoft.com/office/drawing/2014/main" id="{CF623A0F-FC8B-8B0E-8DC8-C28C09722248}"/>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7" name="TextBox 236">
            <a:extLst>
              <a:ext uri="{FF2B5EF4-FFF2-40B4-BE49-F238E27FC236}">
                <a16:creationId xmlns:a16="http://schemas.microsoft.com/office/drawing/2014/main" id="{90C703A4-A635-F6C7-8AA7-40EDF0DB9982}"/>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238" name="TextBox 237">
            <a:extLst>
              <a:ext uri="{FF2B5EF4-FFF2-40B4-BE49-F238E27FC236}">
                <a16:creationId xmlns:a16="http://schemas.microsoft.com/office/drawing/2014/main" id="{574A4EE0-35F2-F782-1021-279A51F17988}"/>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243" name="Group 242">
          <a:extLst>
            <a:ext uri="{FF2B5EF4-FFF2-40B4-BE49-F238E27FC236}">
              <a16:creationId xmlns:a16="http://schemas.microsoft.com/office/drawing/2014/main" id="{38273780-5CC6-5042-82B6-E96E2ABFF26E}"/>
            </a:ext>
          </a:extLst>
        </xdr:cNvPr>
        <xdr:cNvGrpSpPr/>
      </xdr:nvGrpSpPr>
      <xdr:grpSpPr>
        <a:xfrm>
          <a:off x="876300" y="1203960"/>
          <a:ext cx="2159000" cy="1219200"/>
          <a:chOff x="876300" y="1203960"/>
          <a:chExt cx="2159000" cy="1219200"/>
        </a:xfrm>
      </xdr:grpSpPr>
      <xdr:sp macro="" textlink="">
        <xdr:nvSpPr>
          <xdr:cNvPr id="240" name="Rectangle: Rounded Corners 239">
            <a:extLst>
              <a:ext uri="{FF2B5EF4-FFF2-40B4-BE49-F238E27FC236}">
                <a16:creationId xmlns:a16="http://schemas.microsoft.com/office/drawing/2014/main" id="{322CA220-2B47-0FD5-6721-AB6553DCC885}"/>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1" name="TextBox 240">
            <a:extLst>
              <a:ext uri="{FF2B5EF4-FFF2-40B4-BE49-F238E27FC236}">
                <a16:creationId xmlns:a16="http://schemas.microsoft.com/office/drawing/2014/main" id="{B616A5DE-0FFB-2F31-596E-A7E50D846135}"/>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242" name="TextBox 241">
            <a:extLst>
              <a:ext uri="{FF2B5EF4-FFF2-40B4-BE49-F238E27FC236}">
                <a16:creationId xmlns:a16="http://schemas.microsoft.com/office/drawing/2014/main" id="{3101A8A9-5BBA-8E33-1C8D-4E067100C9AE}"/>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47" name="Group 246">
          <a:extLst>
            <a:ext uri="{FF2B5EF4-FFF2-40B4-BE49-F238E27FC236}">
              <a16:creationId xmlns:a16="http://schemas.microsoft.com/office/drawing/2014/main" id="{0A8E4A9D-5CE6-6B5B-9D29-6B2827376B7D}"/>
            </a:ext>
          </a:extLst>
        </xdr:cNvPr>
        <xdr:cNvGrpSpPr/>
      </xdr:nvGrpSpPr>
      <xdr:grpSpPr>
        <a:xfrm>
          <a:off x="3238500" y="1203960"/>
          <a:ext cx="2159000" cy="1219200"/>
          <a:chOff x="3238500" y="1203960"/>
          <a:chExt cx="2159000" cy="1219200"/>
        </a:xfrm>
      </xdr:grpSpPr>
      <xdr:sp macro="" textlink="">
        <xdr:nvSpPr>
          <xdr:cNvPr id="244" name="Rectangle: Rounded Corners 243">
            <a:extLst>
              <a:ext uri="{FF2B5EF4-FFF2-40B4-BE49-F238E27FC236}">
                <a16:creationId xmlns:a16="http://schemas.microsoft.com/office/drawing/2014/main" id="{05AA3790-94FB-28CC-FB8F-4F81B2F16E28}"/>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5" name="TextBox 244">
            <a:extLst>
              <a:ext uri="{FF2B5EF4-FFF2-40B4-BE49-F238E27FC236}">
                <a16:creationId xmlns:a16="http://schemas.microsoft.com/office/drawing/2014/main" id="{C661FEF0-B39C-8E91-DDCC-34BB57332917}"/>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246" name="TextBox 245">
            <a:extLst>
              <a:ext uri="{FF2B5EF4-FFF2-40B4-BE49-F238E27FC236}">
                <a16:creationId xmlns:a16="http://schemas.microsoft.com/office/drawing/2014/main" id="{E6B0838E-93E1-9CFE-EC06-1CBB65110037}"/>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51" name="Group 250">
          <a:extLst>
            <a:ext uri="{FF2B5EF4-FFF2-40B4-BE49-F238E27FC236}">
              <a16:creationId xmlns:a16="http://schemas.microsoft.com/office/drawing/2014/main" id="{1BE97E4F-C066-9335-1736-7299F6F37DB9}"/>
            </a:ext>
          </a:extLst>
        </xdr:cNvPr>
        <xdr:cNvGrpSpPr/>
      </xdr:nvGrpSpPr>
      <xdr:grpSpPr>
        <a:xfrm>
          <a:off x="5600700" y="1203960"/>
          <a:ext cx="2159000" cy="1219200"/>
          <a:chOff x="5600700" y="1203960"/>
          <a:chExt cx="2159000" cy="1219200"/>
        </a:xfrm>
      </xdr:grpSpPr>
      <xdr:sp macro="" textlink="">
        <xdr:nvSpPr>
          <xdr:cNvPr id="248" name="Rectangle: Rounded Corners 247">
            <a:extLst>
              <a:ext uri="{FF2B5EF4-FFF2-40B4-BE49-F238E27FC236}">
                <a16:creationId xmlns:a16="http://schemas.microsoft.com/office/drawing/2014/main" id="{517C639C-670C-AD5F-A652-E7A1935BDFB4}"/>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9" name="TextBox 248">
            <a:extLst>
              <a:ext uri="{FF2B5EF4-FFF2-40B4-BE49-F238E27FC236}">
                <a16:creationId xmlns:a16="http://schemas.microsoft.com/office/drawing/2014/main" id="{494ACA71-3404-C7D1-D4B7-CB33BA7BEB3B}"/>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250" name="TextBox 249">
            <a:extLst>
              <a:ext uri="{FF2B5EF4-FFF2-40B4-BE49-F238E27FC236}">
                <a16:creationId xmlns:a16="http://schemas.microsoft.com/office/drawing/2014/main" id="{0614B2B1-5626-F07B-C743-98CF7BEF8858}"/>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255" name="Group 254">
          <a:extLst>
            <a:ext uri="{FF2B5EF4-FFF2-40B4-BE49-F238E27FC236}">
              <a16:creationId xmlns:a16="http://schemas.microsoft.com/office/drawing/2014/main" id="{61929C5E-0CC1-ACA6-6B91-0E2307C53B31}"/>
            </a:ext>
          </a:extLst>
        </xdr:cNvPr>
        <xdr:cNvGrpSpPr/>
      </xdr:nvGrpSpPr>
      <xdr:grpSpPr>
        <a:xfrm>
          <a:off x="7962900" y="1203960"/>
          <a:ext cx="2159000" cy="1219200"/>
          <a:chOff x="7962900" y="1203960"/>
          <a:chExt cx="2159000" cy="1219200"/>
        </a:xfrm>
      </xdr:grpSpPr>
      <xdr:sp macro="" textlink="">
        <xdr:nvSpPr>
          <xdr:cNvPr id="252" name="Rectangle: Rounded Corners 251">
            <a:extLst>
              <a:ext uri="{FF2B5EF4-FFF2-40B4-BE49-F238E27FC236}">
                <a16:creationId xmlns:a16="http://schemas.microsoft.com/office/drawing/2014/main" id="{0BF205E8-4607-C01D-4D2B-C0C3F369F446}"/>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3" name="TextBox 252">
            <a:extLst>
              <a:ext uri="{FF2B5EF4-FFF2-40B4-BE49-F238E27FC236}">
                <a16:creationId xmlns:a16="http://schemas.microsoft.com/office/drawing/2014/main" id="{3ECBE834-49E2-5198-D2BF-67D752EA44BC}"/>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254" name="TextBox 253">
            <a:extLst>
              <a:ext uri="{FF2B5EF4-FFF2-40B4-BE49-F238E27FC236}">
                <a16:creationId xmlns:a16="http://schemas.microsoft.com/office/drawing/2014/main" id="{3009C68F-000A-A74B-F850-95D9273ECBCA}"/>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259" name="Group 258">
          <a:extLst>
            <a:ext uri="{FF2B5EF4-FFF2-40B4-BE49-F238E27FC236}">
              <a16:creationId xmlns:a16="http://schemas.microsoft.com/office/drawing/2014/main" id="{667B3E49-4D4E-1B9E-8D8F-E8EA054CEB1D}"/>
            </a:ext>
          </a:extLst>
        </xdr:cNvPr>
        <xdr:cNvGrpSpPr/>
      </xdr:nvGrpSpPr>
      <xdr:grpSpPr>
        <a:xfrm>
          <a:off x="876300" y="1203960"/>
          <a:ext cx="2159000" cy="1219200"/>
          <a:chOff x="876300" y="1203960"/>
          <a:chExt cx="2159000" cy="1219200"/>
        </a:xfrm>
      </xdr:grpSpPr>
      <xdr:sp macro="" textlink="">
        <xdr:nvSpPr>
          <xdr:cNvPr id="256" name="Rectangle: Rounded Corners 255">
            <a:extLst>
              <a:ext uri="{FF2B5EF4-FFF2-40B4-BE49-F238E27FC236}">
                <a16:creationId xmlns:a16="http://schemas.microsoft.com/office/drawing/2014/main" id="{E8C089E8-5E93-7D58-3934-096F2023621E}"/>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7" name="TextBox 256">
            <a:extLst>
              <a:ext uri="{FF2B5EF4-FFF2-40B4-BE49-F238E27FC236}">
                <a16:creationId xmlns:a16="http://schemas.microsoft.com/office/drawing/2014/main" id="{353B3CB4-55CA-6F7D-6C12-6411F3518238}"/>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258" name="TextBox 257">
            <a:extLst>
              <a:ext uri="{FF2B5EF4-FFF2-40B4-BE49-F238E27FC236}">
                <a16:creationId xmlns:a16="http://schemas.microsoft.com/office/drawing/2014/main" id="{B04C3F01-E0D8-A037-BBD0-E079AB17DFBA}"/>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63" name="Group 262">
          <a:extLst>
            <a:ext uri="{FF2B5EF4-FFF2-40B4-BE49-F238E27FC236}">
              <a16:creationId xmlns:a16="http://schemas.microsoft.com/office/drawing/2014/main" id="{F1C4159E-97EF-2A06-42A2-03C8CE33A46C}"/>
            </a:ext>
          </a:extLst>
        </xdr:cNvPr>
        <xdr:cNvGrpSpPr/>
      </xdr:nvGrpSpPr>
      <xdr:grpSpPr>
        <a:xfrm>
          <a:off x="3238500" y="1203960"/>
          <a:ext cx="2159000" cy="1219200"/>
          <a:chOff x="3238500" y="1203960"/>
          <a:chExt cx="2159000" cy="1219200"/>
        </a:xfrm>
      </xdr:grpSpPr>
      <xdr:sp macro="" textlink="">
        <xdr:nvSpPr>
          <xdr:cNvPr id="260" name="Rectangle: Rounded Corners 259">
            <a:extLst>
              <a:ext uri="{FF2B5EF4-FFF2-40B4-BE49-F238E27FC236}">
                <a16:creationId xmlns:a16="http://schemas.microsoft.com/office/drawing/2014/main" id="{1981E015-A313-F86A-3670-2F2CF222B6EA}"/>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1" name="TextBox 260">
            <a:extLst>
              <a:ext uri="{FF2B5EF4-FFF2-40B4-BE49-F238E27FC236}">
                <a16:creationId xmlns:a16="http://schemas.microsoft.com/office/drawing/2014/main" id="{52DA0DA9-0DC2-F842-EEC5-E4F212A0CF17}"/>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262" name="TextBox 261">
            <a:extLst>
              <a:ext uri="{FF2B5EF4-FFF2-40B4-BE49-F238E27FC236}">
                <a16:creationId xmlns:a16="http://schemas.microsoft.com/office/drawing/2014/main" id="{2AFE9D47-5651-0E51-C8E6-B57F7D4B3C4D}"/>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67" name="Group 266">
          <a:extLst>
            <a:ext uri="{FF2B5EF4-FFF2-40B4-BE49-F238E27FC236}">
              <a16:creationId xmlns:a16="http://schemas.microsoft.com/office/drawing/2014/main" id="{34F27C15-D8E4-6D83-CDE2-69C211E30042}"/>
            </a:ext>
          </a:extLst>
        </xdr:cNvPr>
        <xdr:cNvGrpSpPr/>
      </xdr:nvGrpSpPr>
      <xdr:grpSpPr>
        <a:xfrm>
          <a:off x="5600700" y="1203960"/>
          <a:ext cx="2159000" cy="1219200"/>
          <a:chOff x="5600700" y="1203960"/>
          <a:chExt cx="2159000" cy="1219200"/>
        </a:xfrm>
      </xdr:grpSpPr>
      <xdr:sp macro="" textlink="">
        <xdr:nvSpPr>
          <xdr:cNvPr id="264" name="Rectangle: Rounded Corners 263">
            <a:extLst>
              <a:ext uri="{FF2B5EF4-FFF2-40B4-BE49-F238E27FC236}">
                <a16:creationId xmlns:a16="http://schemas.microsoft.com/office/drawing/2014/main" id="{F9AA618B-20AA-514B-3476-D3573442EEFF}"/>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5" name="TextBox 264">
            <a:extLst>
              <a:ext uri="{FF2B5EF4-FFF2-40B4-BE49-F238E27FC236}">
                <a16:creationId xmlns:a16="http://schemas.microsoft.com/office/drawing/2014/main" id="{B00BA61C-FADC-E931-2293-DA7D70C22C05}"/>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266" name="TextBox 265">
            <a:extLst>
              <a:ext uri="{FF2B5EF4-FFF2-40B4-BE49-F238E27FC236}">
                <a16:creationId xmlns:a16="http://schemas.microsoft.com/office/drawing/2014/main" id="{4C4D1C38-6DD0-5B4F-89A2-CEBD3B530221}"/>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271" name="Group 270">
          <a:extLst>
            <a:ext uri="{FF2B5EF4-FFF2-40B4-BE49-F238E27FC236}">
              <a16:creationId xmlns:a16="http://schemas.microsoft.com/office/drawing/2014/main" id="{E219569A-13E8-7CDC-BFF2-70B70492B8FE}"/>
            </a:ext>
          </a:extLst>
        </xdr:cNvPr>
        <xdr:cNvGrpSpPr/>
      </xdr:nvGrpSpPr>
      <xdr:grpSpPr>
        <a:xfrm>
          <a:off x="7962900" y="1203960"/>
          <a:ext cx="2159000" cy="1219200"/>
          <a:chOff x="7962900" y="1203960"/>
          <a:chExt cx="2159000" cy="1219200"/>
        </a:xfrm>
      </xdr:grpSpPr>
      <xdr:sp macro="" textlink="">
        <xdr:nvSpPr>
          <xdr:cNvPr id="268" name="Rectangle: Rounded Corners 267">
            <a:extLst>
              <a:ext uri="{FF2B5EF4-FFF2-40B4-BE49-F238E27FC236}">
                <a16:creationId xmlns:a16="http://schemas.microsoft.com/office/drawing/2014/main" id="{DFA77535-2ED8-F7BA-9789-EA36DC0A7DDC}"/>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9" name="TextBox 268">
            <a:extLst>
              <a:ext uri="{FF2B5EF4-FFF2-40B4-BE49-F238E27FC236}">
                <a16:creationId xmlns:a16="http://schemas.microsoft.com/office/drawing/2014/main" id="{9AA04FE5-6B98-7425-236F-582DD3CC3122}"/>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270" name="TextBox 269">
            <a:extLst>
              <a:ext uri="{FF2B5EF4-FFF2-40B4-BE49-F238E27FC236}">
                <a16:creationId xmlns:a16="http://schemas.microsoft.com/office/drawing/2014/main" id="{E2FB6EE8-8D0C-52E1-1991-59225D626DC7}"/>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275" name="Group 274">
          <a:extLst>
            <a:ext uri="{FF2B5EF4-FFF2-40B4-BE49-F238E27FC236}">
              <a16:creationId xmlns:a16="http://schemas.microsoft.com/office/drawing/2014/main" id="{6077308E-31AA-13D6-56DF-43E224917450}"/>
            </a:ext>
          </a:extLst>
        </xdr:cNvPr>
        <xdr:cNvGrpSpPr/>
      </xdr:nvGrpSpPr>
      <xdr:grpSpPr>
        <a:xfrm>
          <a:off x="876300" y="1203960"/>
          <a:ext cx="2159000" cy="1219200"/>
          <a:chOff x="876300" y="1203960"/>
          <a:chExt cx="2159000" cy="1219200"/>
        </a:xfrm>
      </xdr:grpSpPr>
      <xdr:sp macro="" textlink="">
        <xdr:nvSpPr>
          <xdr:cNvPr id="272" name="Rectangle: Rounded Corners 271">
            <a:extLst>
              <a:ext uri="{FF2B5EF4-FFF2-40B4-BE49-F238E27FC236}">
                <a16:creationId xmlns:a16="http://schemas.microsoft.com/office/drawing/2014/main" id="{6EED5068-F76A-42F4-3418-C21563977BC8}"/>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TextBox 272">
            <a:extLst>
              <a:ext uri="{FF2B5EF4-FFF2-40B4-BE49-F238E27FC236}">
                <a16:creationId xmlns:a16="http://schemas.microsoft.com/office/drawing/2014/main" id="{1123A6F6-6CC7-BABA-74F1-5A4E2078935E}"/>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Revenue</a:t>
            </a:r>
          </a:p>
        </xdr:txBody>
      </xdr:sp>
      <xdr:sp macro="" textlink="">
        <xdr:nvSpPr>
          <xdr:cNvPr id="274" name="TextBox 273">
            <a:extLst>
              <a:ext uri="{FF2B5EF4-FFF2-40B4-BE49-F238E27FC236}">
                <a16:creationId xmlns:a16="http://schemas.microsoft.com/office/drawing/2014/main" id="{124112D7-590C-AD47-0B77-9788A284111D}"/>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79" name="Group 278">
          <a:extLst>
            <a:ext uri="{FF2B5EF4-FFF2-40B4-BE49-F238E27FC236}">
              <a16:creationId xmlns:a16="http://schemas.microsoft.com/office/drawing/2014/main" id="{0161325A-09D4-40F4-4ACF-214EFDF8DB64}"/>
            </a:ext>
          </a:extLst>
        </xdr:cNvPr>
        <xdr:cNvGrpSpPr/>
      </xdr:nvGrpSpPr>
      <xdr:grpSpPr>
        <a:xfrm>
          <a:off x="3238500" y="1203960"/>
          <a:ext cx="2159000" cy="1219200"/>
          <a:chOff x="3238500" y="1203960"/>
          <a:chExt cx="2159000" cy="1219200"/>
        </a:xfrm>
      </xdr:grpSpPr>
      <xdr:sp macro="" textlink="">
        <xdr:nvSpPr>
          <xdr:cNvPr id="276" name="Rectangle: Rounded Corners 275">
            <a:extLst>
              <a:ext uri="{FF2B5EF4-FFF2-40B4-BE49-F238E27FC236}">
                <a16:creationId xmlns:a16="http://schemas.microsoft.com/office/drawing/2014/main" id="{C6C88A0E-0230-5C7B-75F7-853FEDF5DF97}"/>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7" name="TextBox 276">
            <a:extLst>
              <a:ext uri="{FF2B5EF4-FFF2-40B4-BE49-F238E27FC236}">
                <a16:creationId xmlns:a16="http://schemas.microsoft.com/office/drawing/2014/main" id="{82C0F20E-899E-CB97-9AAE-D0BC576EFE9E}"/>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Expenses</a:t>
            </a:r>
          </a:p>
        </xdr:txBody>
      </xdr:sp>
      <xdr:sp macro="" textlink="">
        <xdr:nvSpPr>
          <xdr:cNvPr id="278" name="TextBox 277">
            <a:extLst>
              <a:ext uri="{FF2B5EF4-FFF2-40B4-BE49-F238E27FC236}">
                <a16:creationId xmlns:a16="http://schemas.microsoft.com/office/drawing/2014/main" id="{AB331160-FF6B-F6D1-43FD-0BA625F11841}"/>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83" name="Group 282">
          <a:extLst>
            <a:ext uri="{FF2B5EF4-FFF2-40B4-BE49-F238E27FC236}">
              <a16:creationId xmlns:a16="http://schemas.microsoft.com/office/drawing/2014/main" id="{460C61B1-A670-C7F2-1B12-3DED14625BF4}"/>
            </a:ext>
          </a:extLst>
        </xdr:cNvPr>
        <xdr:cNvGrpSpPr/>
      </xdr:nvGrpSpPr>
      <xdr:grpSpPr>
        <a:xfrm>
          <a:off x="5600700" y="1203960"/>
          <a:ext cx="2159000" cy="1219200"/>
          <a:chOff x="5600700" y="1203960"/>
          <a:chExt cx="2159000" cy="1219200"/>
        </a:xfrm>
      </xdr:grpSpPr>
      <xdr:sp macro="" textlink="">
        <xdr:nvSpPr>
          <xdr:cNvPr id="280" name="Rectangle: Rounded Corners 279">
            <a:extLst>
              <a:ext uri="{FF2B5EF4-FFF2-40B4-BE49-F238E27FC236}">
                <a16:creationId xmlns:a16="http://schemas.microsoft.com/office/drawing/2014/main" id="{676ADFFC-FABA-F2A7-AE97-E0DC987F5A47}"/>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1" name="TextBox 280">
            <a:extLst>
              <a:ext uri="{FF2B5EF4-FFF2-40B4-BE49-F238E27FC236}">
                <a16:creationId xmlns:a16="http://schemas.microsoft.com/office/drawing/2014/main" id="{AF0485AD-5B59-9CEC-D57D-7F22878D2CFB}"/>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Profit</a:t>
            </a:r>
          </a:p>
        </xdr:txBody>
      </xdr:sp>
      <xdr:sp macro="" textlink="">
        <xdr:nvSpPr>
          <xdr:cNvPr id="282" name="TextBox 281">
            <a:extLst>
              <a:ext uri="{FF2B5EF4-FFF2-40B4-BE49-F238E27FC236}">
                <a16:creationId xmlns:a16="http://schemas.microsoft.com/office/drawing/2014/main" id="{8D7B40F4-1471-B6E8-F231-9A6D1988B3DB}"/>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287" name="Group 286">
          <a:extLst>
            <a:ext uri="{FF2B5EF4-FFF2-40B4-BE49-F238E27FC236}">
              <a16:creationId xmlns:a16="http://schemas.microsoft.com/office/drawing/2014/main" id="{7C5E5D4C-FD94-8A90-F842-EF6B13381087}"/>
            </a:ext>
          </a:extLst>
        </xdr:cNvPr>
        <xdr:cNvGrpSpPr/>
      </xdr:nvGrpSpPr>
      <xdr:grpSpPr>
        <a:xfrm>
          <a:off x="7962900" y="1203960"/>
          <a:ext cx="2159000" cy="1219200"/>
          <a:chOff x="7962900" y="1203960"/>
          <a:chExt cx="2159000" cy="1219200"/>
        </a:xfrm>
      </xdr:grpSpPr>
      <xdr:sp macro="" textlink="">
        <xdr:nvSpPr>
          <xdr:cNvPr id="284" name="Rectangle: Rounded Corners 283">
            <a:extLst>
              <a:ext uri="{FF2B5EF4-FFF2-40B4-BE49-F238E27FC236}">
                <a16:creationId xmlns:a16="http://schemas.microsoft.com/office/drawing/2014/main" id="{33C5369E-C0A4-943B-26A9-9862BA1FBF30}"/>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17961" dir="2699987"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5" name="TextBox 284">
            <a:extLst>
              <a:ext uri="{FF2B5EF4-FFF2-40B4-BE49-F238E27FC236}">
                <a16:creationId xmlns:a16="http://schemas.microsoft.com/office/drawing/2014/main" id="{53D35319-6D08-89CC-2F96-7E0028EC3692}"/>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1000">
                <a:solidFill>
                  <a:srgbClr val="FFFFFF"/>
                </a:solidFill>
                <a:latin typeface="Segoe UI Semibold" panose="020B0702040204020203" pitchFamily="34" charset="0"/>
              </a:rPr>
              <a:t>Margin</a:t>
            </a:r>
          </a:p>
        </xdr:txBody>
      </xdr:sp>
      <xdr:sp macro="" textlink="">
        <xdr:nvSpPr>
          <xdr:cNvPr id="286" name="TextBox 285">
            <a:extLst>
              <a:ext uri="{FF2B5EF4-FFF2-40B4-BE49-F238E27FC236}">
                <a16:creationId xmlns:a16="http://schemas.microsoft.com/office/drawing/2014/main" id="{C9023AE2-E085-16C8-0FDE-034A39C889C9}"/>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lang="en-US" sz="2200">
                <a:solidFill>
                  <a:srgbClr val="FFFFFF"/>
                </a:solidFill>
                <a:latin typeface="Segoe UI" panose="020B0502040204020203" pitchFamily="34" charset="0"/>
              </a:rPr>
              <a:t> </a:t>
            </a:r>
          </a:p>
        </xdr:txBody>
      </xdr:sp>
    </xdr:grpSp>
    <xdr:clientData/>
  </xdr:twoCellAnchor>
  <xdr:twoCellAnchor>
    <xdr:from>
      <xdr:col>1</xdr:col>
      <xdr:colOff>0</xdr:colOff>
      <xdr:row>4</xdr:row>
      <xdr:rowOff>0</xdr:rowOff>
    </xdr:from>
    <xdr:to>
      <xdr:col>3</xdr:col>
      <xdr:colOff>406400</xdr:colOff>
      <xdr:row>10</xdr:row>
      <xdr:rowOff>121920</xdr:rowOff>
    </xdr:to>
    <xdr:grpSp>
      <xdr:nvGrpSpPr>
        <xdr:cNvPr id="291" name="Group 290">
          <a:extLst>
            <a:ext uri="{FF2B5EF4-FFF2-40B4-BE49-F238E27FC236}">
              <a16:creationId xmlns:a16="http://schemas.microsoft.com/office/drawing/2014/main" id="{D1AB22CA-B894-1E86-9769-917FAA6801AE}"/>
            </a:ext>
          </a:extLst>
        </xdr:cNvPr>
        <xdr:cNvGrpSpPr/>
      </xdr:nvGrpSpPr>
      <xdr:grpSpPr>
        <a:xfrm>
          <a:off x="876300" y="1203960"/>
          <a:ext cx="2159000" cy="1219200"/>
          <a:chOff x="876300" y="1203960"/>
          <a:chExt cx="2159000" cy="1219200"/>
        </a:xfrm>
      </xdr:grpSpPr>
      <xdr:sp macro="" textlink="">
        <xdr:nvSpPr>
          <xdr:cNvPr id="288" name="Rectangle: Rounded Corners 287">
            <a:extLst>
              <a:ext uri="{FF2B5EF4-FFF2-40B4-BE49-F238E27FC236}">
                <a16:creationId xmlns:a16="http://schemas.microsoft.com/office/drawing/2014/main" id="{DEB8CC27-C9C3-BBDA-34A4-AA2B890275FD}"/>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9" name="TextBox 288">
            <a:extLst>
              <a:ext uri="{FF2B5EF4-FFF2-40B4-BE49-F238E27FC236}">
                <a16:creationId xmlns:a16="http://schemas.microsoft.com/office/drawing/2014/main" id="{89235DBB-BBF8-31F8-47BE-997596C96CFE}"/>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Revenue</a:t>
            </a:r>
          </a:p>
        </xdr:txBody>
      </xdr:sp>
      <xdr:sp macro="" textlink="">
        <xdr:nvSpPr>
          <xdr:cNvPr id="290" name="TextBox 289">
            <a:extLst>
              <a:ext uri="{FF2B5EF4-FFF2-40B4-BE49-F238E27FC236}">
                <a16:creationId xmlns:a16="http://schemas.microsoft.com/office/drawing/2014/main" id="{F07A3D9F-5B87-8165-CDC2-220F9C08AA7E}"/>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 </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95" name="Group 294">
          <a:extLst>
            <a:ext uri="{FF2B5EF4-FFF2-40B4-BE49-F238E27FC236}">
              <a16:creationId xmlns:a16="http://schemas.microsoft.com/office/drawing/2014/main" id="{A0C997E2-4F7C-9CEB-2B63-70B009FE76C5}"/>
            </a:ext>
          </a:extLst>
        </xdr:cNvPr>
        <xdr:cNvGrpSpPr/>
      </xdr:nvGrpSpPr>
      <xdr:grpSpPr>
        <a:xfrm>
          <a:off x="3238500" y="1203960"/>
          <a:ext cx="2159000" cy="1219200"/>
          <a:chOff x="3238500" y="1203960"/>
          <a:chExt cx="2159000" cy="1219200"/>
        </a:xfrm>
      </xdr:grpSpPr>
      <xdr:sp macro="" textlink="">
        <xdr:nvSpPr>
          <xdr:cNvPr id="292" name="Rectangle: Rounded Corners 291">
            <a:extLst>
              <a:ext uri="{FF2B5EF4-FFF2-40B4-BE49-F238E27FC236}">
                <a16:creationId xmlns:a16="http://schemas.microsoft.com/office/drawing/2014/main" id="{3D94AB08-00F1-9806-692E-7AC354AA34A6}"/>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3" name="TextBox 292">
            <a:extLst>
              <a:ext uri="{FF2B5EF4-FFF2-40B4-BE49-F238E27FC236}">
                <a16:creationId xmlns:a16="http://schemas.microsoft.com/office/drawing/2014/main" id="{870791DF-00DD-E2BF-6F18-086316393C71}"/>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Expenses</a:t>
            </a:r>
          </a:p>
        </xdr:txBody>
      </xdr:sp>
      <xdr:sp macro="" textlink="">
        <xdr:nvSpPr>
          <xdr:cNvPr id="294" name="TextBox 293">
            <a:extLst>
              <a:ext uri="{FF2B5EF4-FFF2-40B4-BE49-F238E27FC236}">
                <a16:creationId xmlns:a16="http://schemas.microsoft.com/office/drawing/2014/main" id="{E2C32EBD-21C1-149D-3B2C-7AED4408649D}"/>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 </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99" name="Group 298">
          <a:extLst>
            <a:ext uri="{FF2B5EF4-FFF2-40B4-BE49-F238E27FC236}">
              <a16:creationId xmlns:a16="http://schemas.microsoft.com/office/drawing/2014/main" id="{5D7708C5-6F96-C77D-27C3-DABA49E5027B}"/>
            </a:ext>
          </a:extLst>
        </xdr:cNvPr>
        <xdr:cNvGrpSpPr/>
      </xdr:nvGrpSpPr>
      <xdr:grpSpPr>
        <a:xfrm>
          <a:off x="5600700" y="1203960"/>
          <a:ext cx="2159000" cy="1219200"/>
          <a:chOff x="5600700" y="1203960"/>
          <a:chExt cx="2159000" cy="1219200"/>
        </a:xfrm>
      </xdr:grpSpPr>
      <xdr:sp macro="" textlink="">
        <xdr:nvSpPr>
          <xdr:cNvPr id="296" name="Rectangle: Rounded Corners 295">
            <a:extLst>
              <a:ext uri="{FF2B5EF4-FFF2-40B4-BE49-F238E27FC236}">
                <a16:creationId xmlns:a16="http://schemas.microsoft.com/office/drawing/2014/main" id="{7956B284-EC15-EB3E-6D24-A4C02B3599E4}"/>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7" name="TextBox 296">
            <a:extLst>
              <a:ext uri="{FF2B5EF4-FFF2-40B4-BE49-F238E27FC236}">
                <a16:creationId xmlns:a16="http://schemas.microsoft.com/office/drawing/2014/main" id="{14D05525-E667-6D4B-868E-F683E10D44C3}"/>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Profit</a:t>
            </a:r>
          </a:p>
        </xdr:txBody>
      </xdr:sp>
      <xdr:sp macro="" textlink="">
        <xdr:nvSpPr>
          <xdr:cNvPr id="298" name="TextBox 297">
            <a:extLst>
              <a:ext uri="{FF2B5EF4-FFF2-40B4-BE49-F238E27FC236}">
                <a16:creationId xmlns:a16="http://schemas.microsoft.com/office/drawing/2014/main" id="{484E3087-F6EC-A8D9-A95D-1A26F19CF3C0}"/>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 </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303" name="Group 302">
          <a:extLst>
            <a:ext uri="{FF2B5EF4-FFF2-40B4-BE49-F238E27FC236}">
              <a16:creationId xmlns:a16="http://schemas.microsoft.com/office/drawing/2014/main" id="{C5173010-48D3-D6DA-0CBC-DC4F42C2C2E2}"/>
            </a:ext>
          </a:extLst>
        </xdr:cNvPr>
        <xdr:cNvGrpSpPr/>
      </xdr:nvGrpSpPr>
      <xdr:grpSpPr>
        <a:xfrm>
          <a:off x="7962900" y="1203960"/>
          <a:ext cx="2159000" cy="1219200"/>
          <a:chOff x="7962900" y="1203960"/>
          <a:chExt cx="2159000" cy="1219200"/>
        </a:xfrm>
      </xdr:grpSpPr>
      <xdr:sp macro="" textlink="">
        <xdr:nvSpPr>
          <xdr:cNvPr id="300" name="Rectangle: Rounded Corners 299">
            <a:extLst>
              <a:ext uri="{FF2B5EF4-FFF2-40B4-BE49-F238E27FC236}">
                <a16:creationId xmlns:a16="http://schemas.microsoft.com/office/drawing/2014/main" id="{CA8C88B8-556A-5EE1-A2DD-612297AEA08E}"/>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1" name="TextBox 300">
            <a:extLst>
              <a:ext uri="{FF2B5EF4-FFF2-40B4-BE49-F238E27FC236}">
                <a16:creationId xmlns:a16="http://schemas.microsoft.com/office/drawing/2014/main" id="{DFC52F04-A070-A646-292D-77C8E17C14C7}"/>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Margin</a:t>
            </a:r>
          </a:p>
        </xdr:txBody>
      </xdr:sp>
      <xdr:sp macro="" textlink="">
        <xdr:nvSpPr>
          <xdr:cNvPr id="302" name="TextBox 301">
            <a:extLst>
              <a:ext uri="{FF2B5EF4-FFF2-40B4-BE49-F238E27FC236}">
                <a16:creationId xmlns:a16="http://schemas.microsoft.com/office/drawing/2014/main" id="{AB31160E-F9FF-35E1-2EE8-C557489F053F}"/>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 </a:t>
            </a:r>
          </a:p>
        </xdr:txBody>
      </xdr:sp>
    </xdr:grp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11" name="btnImport">
          <a:extLst>
            <a:ext uri="{FF2B5EF4-FFF2-40B4-BE49-F238E27FC236}">
              <a16:creationId xmlns:a16="http://schemas.microsoft.com/office/drawing/2014/main" id="{04A41012-FE3A-D493-BA8D-B928E1269B39}"/>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35" name="btnImport">
          <a:extLst>
            <a:ext uri="{FF2B5EF4-FFF2-40B4-BE49-F238E27FC236}">
              <a16:creationId xmlns:a16="http://schemas.microsoft.com/office/drawing/2014/main" id="{67C1481E-753F-681F-CE58-CAEE33C52D77}"/>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12" name="btnImport">
          <a:extLst>
            <a:ext uri="{FF2B5EF4-FFF2-40B4-BE49-F238E27FC236}">
              <a16:creationId xmlns:a16="http://schemas.microsoft.com/office/drawing/2014/main" id="{0B0C8211-A5AC-7EA8-FD84-2E2F99E59B2E}"/>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36" name="btnImport">
          <a:extLst>
            <a:ext uri="{FF2B5EF4-FFF2-40B4-BE49-F238E27FC236}">
              <a16:creationId xmlns:a16="http://schemas.microsoft.com/office/drawing/2014/main" id="{1EE98F77-58CC-6DEF-4572-C123866CED7D}"/>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13" name="btnImport">
          <a:extLst>
            <a:ext uri="{FF2B5EF4-FFF2-40B4-BE49-F238E27FC236}">
              <a16:creationId xmlns:a16="http://schemas.microsoft.com/office/drawing/2014/main" id="{F5B05933-B488-048D-6D38-1489C866D8A7}"/>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37" name="btnImport">
          <a:extLst>
            <a:ext uri="{FF2B5EF4-FFF2-40B4-BE49-F238E27FC236}">
              <a16:creationId xmlns:a16="http://schemas.microsoft.com/office/drawing/2014/main" id="{E42184ED-1AEC-7E8E-2265-19154642AB12}"/>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14" name="btnImport">
          <a:extLst>
            <a:ext uri="{FF2B5EF4-FFF2-40B4-BE49-F238E27FC236}">
              <a16:creationId xmlns:a16="http://schemas.microsoft.com/office/drawing/2014/main" id="{666D39E7-4B25-AA18-61F9-884AC075CFEB}"/>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38" name="btnImport">
          <a:extLst>
            <a:ext uri="{FF2B5EF4-FFF2-40B4-BE49-F238E27FC236}">
              <a16:creationId xmlns:a16="http://schemas.microsoft.com/office/drawing/2014/main" id="{A190438C-5A61-CBD6-8D30-A4BA5CC370FF}"/>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67" name="btnImport">
          <a:extLst>
            <a:ext uri="{FF2B5EF4-FFF2-40B4-BE49-F238E27FC236}">
              <a16:creationId xmlns:a16="http://schemas.microsoft.com/office/drawing/2014/main" id="{F4033E2A-5787-B23D-FA41-6725EEAE1E7C}"/>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15" name="btnImport">
          <a:extLst>
            <a:ext uri="{FF2B5EF4-FFF2-40B4-BE49-F238E27FC236}">
              <a16:creationId xmlns:a16="http://schemas.microsoft.com/office/drawing/2014/main" id="{97F9026B-ABFE-7732-CEF9-8FDE5E0284B1}"/>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44" name="btnImport">
          <a:extLst>
            <a:ext uri="{FF2B5EF4-FFF2-40B4-BE49-F238E27FC236}">
              <a16:creationId xmlns:a16="http://schemas.microsoft.com/office/drawing/2014/main" id="{93612841-DBAD-418D-8FC5-EFB11748AE64}"/>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xdr:col>
      <xdr:colOff>0</xdr:colOff>
      <xdr:row>4</xdr:row>
      <xdr:rowOff>0</xdr:rowOff>
    </xdr:from>
    <xdr:to>
      <xdr:col>3</xdr:col>
      <xdr:colOff>406400</xdr:colOff>
      <xdr:row>10</xdr:row>
      <xdr:rowOff>121920</xdr:rowOff>
    </xdr:to>
    <xdr:grpSp>
      <xdr:nvGrpSpPr>
        <xdr:cNvPr id="197" name="grpCard_Revenue">
          <a:extLst>
            <a:ext uri="{FF2B5EF4-FFF2-40B4-BE49-F238E27FC236}">
              <a16:creationId xmlns:a16="http://schemas.microsoft.com/office/drawing/2014/main" id="{911BADE3-3B2A-97E7-A8D1-227062F075A3}"/>
            </a:ext>
          </a:extLst>
        </xdr:cNvPr>
        <xdr:cNvGrpSpPr/>
      </xdr:nvGrpSpPr>
      <xdr:grpSpPr>
        <a:xfrm>
          <a:off x="876300" y="1203960"/>
          <a:ext cx="2159000" cy="1219200"/>
          <a:chOff x="876300" y="1203960"/>
          <a:chExt cx="2159000" cy="1219200"/>
        </a:xfrm>
      </xdr:grpSpPr>
      <xdr:sp macro="" textlink="">
        <xdr:nvSpPr>
          <xdr:cNvPr id="178" name="cardBG_Revenue">
            <a:extLst>
              <a:ext uri="{FF2B5EF4-FFF2-40B4-BE49-F238E27FC236}">
                <a16:creationId xmlns:a16="http://schemas.microsoft.com/office/drawing/2014/main" id="{85A91D17-210B-FD0C-D8DE-C69360E4F382}"/>
              </a:ext>
            </a:extLst>
          </xdr:cNvPr>
          <xdr:cNvSpPr/>
        </xdr:nvSpPr>
        <xdr:spPr>
          <a:xfrm>
            <a:off x="876300" y="1203960"/>
            <a:ext cx="2159000" cy="1219200"/>
          </a:xfrm>
          <a:prstGeom prst="roundRect">
            <a:avLst/>
          </a:prstGeom>
          <a:solidFill>
            <a:srgbClr val="2173BD"/>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5" name="cardLBL_Revenue">
            <a:extLst>
              <a:ext uri="{FF2B5EF4-FFF2-40B4-BE49-F238E27FC236}">
                <a16:creationId xmlns:a16="http://schemas.microsoft.com/office/drawing/2014/main" id="{D4052CDB-B382-202B-4D6A-71010070B217}"/>
              </a:ext>
            </a:extLst>
          </xdr:cNvPr>
          <xdr:cNvSpPr txBox="1"/>
        </xdr:nvSpPr>
        <xdr:spPr>
          <a:xfrm>
            <a:off x="10287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Revenue</a:t>
            </a:r>
          </a:p>
        </xdr:txBody>
      </xdr:sp>
      <xdr:sp macro="" textlink="">
        <xdr:nvSpPr>
          <xdr:cNvPr id="196" name="cardVAL_Revenue" descr="U2">
            <a:extLst>
              <a:ext uri="{FF2B5EF4-FFF2-40B4-BE49-F238E27FC236}">
                <a16:creationId xmlns:a16="http://schemas.microsoft.com/office/drawing/2014/main" id="{71EE8594-B2B1-813B-5747-8AD6624BAE40}"/>
              </a:ext>
            </a:extLst>
          </xdr:cNvPr>
          <xdr:cNvSpPr txBox="1"/>
        </xdr:nvSpPr>
        <xdr:spPr>
          <a:xfrm>
            <a:off x="10287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$9,062,068</a:t>
            </a:r>
          </a:p>
        </xdr:txBody>
      </xdr:sp>
    </xdr:grpSp>
    <xdr:clientData/>
  </xdr:twoCellAnchor>
  <xdr:twoCellAnchor>
    <xdr:from>
      <xdr:col>3</xdr:col>
      <xdr:colOff>609600</xdr:colOff>
      <xdr:row>4</xdr:row>
      <xdr:rowOff>0</xdr:rowOff>
    </xdr:from>
    <xdr:to>
      <xdr:col>6</xdr:col>
      <xdr:colOff>139700</xdr:colOff>
      <xdr:row>10</xdr:row>
      <xdr:rowOff>121920</xdr:rowOff>
    </xdr:to>
    <xdr:grpSp>
      <xdr:nvGrpSpPr>
        <xdr:cNvPr id="201" name="grpCard_Expenses">
          <a:extLst>
            <a:ext uri="{FF2B5EF4-FFF2-40B4-BE49-F238E27FC236}">
              <a16:creationId xmlns:a16="http://schemas.microsoft.com/office/drawing/2014/main" id="{7D30D5FC-E12E-208E-0AED-25AB2D33D9D9}"/>
            </a:ext>
          </a:extLst>
        </xdr:cNvPr>
        <xdr:cNvGrpSpPr/>
      </xdr:nvGrpSpPr>
      <xdr:grpSpPr>
        <a:xfrm>
          <a:off x="3238500" y="1203960"/>
          <a:ext cx="2159000" cy="1219200"/>
          <a:chOff x="3238500" y="1203960"/>
          <a:chExt cx="2159000" cy="1219200"/>
        </a:xfrm>
      </xdr:grpSpPr>
      <xdr:sp macro="" textlink="">
        <xdr:nvSpPr>
          <xdr:cNvPr id="198" name="cardBG_Expenses">
            <a:extLst>
              <a:ext uri="{FF2B5EF4-FFF2-40B4-BE49-F238E27FC236}">
                <a16:creationId xmlns:a16="http://schemas.microsoft.com/office/drawing/2014/main" id="{4D172BDC-447C-E249-EF79-666EDAF21FBC}"/>
              </a:ext>
            </a:extLst>
          </xdr:cNvPr>
          <xdr:cNvSpPr/>
        </xdr:nvSpPr>
        <xdr:spPr>
          <a:xfrm>
            <a:off x="3238500" y="1203960"/>
            <a:ext cx="2159000" cy="1219200"/>
          </a:xfrm>
          <a:prstGeom prst="roundRect">
            <a:avLst/>
          </a:prstGeom>
          <a:solidFill>
            <a:srgbClr val="69737D"/>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9" name="cardLBL_Expenses">
            <a:extLst>
              <a:ext uri="{FF2B5EF4-FFF2-40B4-BE49-F238E27FC236}">
                <a16:creationId xmlns:a16="http://schemas.microsoft.com/office/drawing/2014/main" id="{AACD05B2-2F24-33CE-EAD1-F70A68B3B71A}"/>
              </a:ext>
            </a:extLst>
          </xdr:cNvPr>
          <xdr:cNvSpPr txBox="1"/>
        </xdr:nvSpPr>
        <xdr:spPr>
          <a:xfrm>
            <a:off x="33909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Expenses</a:t>
            </a:r>
          </a:p>
        </xdr:txBody>
      </xdr:sp>
      <xdr:sp macro="" textlink="">
        <xdr:nvSpPr>
          <xdr:cNvPr id="200" name="cardVAL_Expenses" descr="U3">
            <a:extLst>
              <a:ext uri="{FF2B5EF4-FFF2-40B4-BE49-F238E27FC236}">
                <a16:creationId xmlns:a16="http://schemas.microsoft.com/office/drawing/2014/main" id="{E8DE77F0-1670-93F9-E7AA-0894AD68BDAF}"/>
              </a:ext>
            </a:extLst>
          </xdr:cNvPr>
          <xdr:cNvSpPr txBox="1"/>
        </xdr:nvSpPr>
        <xdr:spPr>
          <a:xfrm>
            <a:off x="33909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$7,466,884</a:t>
            </a:r>
          </a:p>
        </xdr:txBody>
      </xdr:sp>
    </xdr:grpSp>
    <xdr:clientData/>
  </xdr:twoCellAnchor>
  <xdr:twoCellAnchor>
    <xdr:from>
      <xdr:col>6</xdr:col>
      <xdr:colOff>342900</xdr:colOff>
      <xdr:row>4</xdr:row>
      <xdr:rowOff>0</xdr:rowOff>
    </xdr:from>
    <xdr:to>
      <xdr:col>8</xdr:col>
      <xdr:colOff>749300</xdr:colOff>
      <xdr:row>10</xdr:row>
      <xdr:rowOff>121920</xdr:rowOff>
    </xdr:to>
    <xdr:grpSp>
      <xdr:nvGrpSpPr>
        <xdr:cNvPr id="207" name="grpCard_Profit">
          <a:extLst>
            <a:ext uri="{FF2B5EF4-FFF2-40B4-BE49-F238E27FC236}">
              <a16:creationId xmlns:a16="http://schemas.microsoft.com/office/drawing/2014/main" id="{8C3F21B0-7042-76A9-4F61-A4EF3680958D}"/>
            </a:ext>
          </a:extLst>
        </xdr:cNvPr>
        <xdr:cNvGrpSpPr/>
      </xdr:nvGrpSpPr>
      <xdr:grpSpPr>
        <a:xfrm>
          <a:off x="5600700" y="1203960"/>
          <a:ext cx="2159000" cy="1219200"/>
          <a:chOff x="5600700" y="1203960"/>
          <a:chExt cx="2159000" cy="1219200"/>
        </a:xfrm>
      </xdr:grpSpPr>
      <xdr:sp macro="" textlink="">
        <xdr:nvSpPr>
          <xdr:cNvPr id="202" name="cardBG_Profit">
            <a:extLst>
              <a:ext uri="{FF2B5EF4-FFF2-40B4-BE49-F238E27FC236}">
                <a16:creationId xmlns:a16="http://schemas.microsoft.com/office/drawing/2014/main" id="{8DEE1349-4F80-5B32-4952-66A82656F41D}"/>
              </a:ext>
            </a:extLst>
          </xdr:cNvPr>
          <xdr:cNvSpPr/>
        </xdr:nvSpPr>
        <xdr:spPr>
          <a:xfrm>
            <a:off x="5600700" y="1203960"/>
            <a:ext cx="2159000" cy="1219200"/>
          </a:xfrm>
          <a:prstGeom prst="roundRect">
            <a:avLst/>
          </a:prstGeom>
          <a:solidFill>
            <a:srgbClr val="009966"/>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3" name="cardLBL_Profit">
            <a:extLst>
              <a:ext uri="{FF2B5EF4-FFF2-40B4-BE49-F238E27FC236}">
                <a16:creationId xmlns:a16="http://schemas.microsoft.com/office/drawing/2014/main" id="{A614659C-420D-F0FD-44F2-EAA11DE0D0AF}"/>
              </a:ext>
            </a:extLst>
          </xdr:cNvPr>
          <xdr:cNvSpPr txBox="1"/>
        </xdr:nvSpPr>
        <xdr:spPr>
          <a:xfrm>
            <a:off x="57531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Profit</a:t>
            </a:r>
          </a:p>
        </xdr:txBody>
      </xdr:sp>
      <xdr:sp macro="" textlink="">
        <xdr:nvSpPr>
          <xdr:cNvPr id="204" name="cardVAL_Profit" descr="U4">
            <a:extLst>
              <a:ext uri="{FF2B5EF4-FFF2-40B4-BE49-F238E27FC236}">
                <a16:creationId xmlns:a16="http://schemas.microsoft.com/office/drawing/2014/main" id="{63825972-D8C7-EAC2-0B98-BC14DCDB0715}"/>
              </a:ext>
            </a:extLst>
          </xdr:cNvPr>
          <xdr:cNvSpPr txBox="1"/>
        </xdr:nvSpPr>
        <xdr:spPr>
          <a:xfrm>
            <a:off x="57531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$1,595,184</a:t>
            </a:r>
          </a:p>
        </xdr:txBody>
      </xdr:sp>
    </xdr:grpSp>
    <xdr:clientData/>
  </xdr:twoCellAnchor>
  <xdr:twoCellAnchor>
    <xdr:from>
      <xdr:col>9</xdr:col>
      <xdr:colOff>76200</xdr:colOff>
      <xdr:row>4</xdr:row>
      <xdr:rowOff>0</xdr:rowOff>
    </xdr:from>
    <xdr:to>
      <xdr:col>11</xdr:col>
      <xdr:colOff>482600</xdr:colOff>
      <xdr:row>10</xdr:row>
      <xdr:rowOff>121920</xdr:rowOff>
    </xdr:to>
    <xdr:grpSp>
      <xdr:nvGrpSpPr>
        <xdr:cNvPr id="307" name="grpCard_Margin">
          <a:extLst>
            <a:ext uri="{FF2B5EF4-FFF2-40B4-BE49-F238E27FC236}">
              <a16:creationId xmlns:a16="http://schemas.microsoft.com/office/drawing/2014/main" id="{404D1EAC-D28C-4F10-F04D-D7FE80EEB581}"/>
            </a:ext>
          </a:extLst>
        </xdr:cNvPr>
        <xdr:cNvGrpSpPr/>
      </xdr:nvGrpSpPr>
      <xdr:grpSpPr>
        <a:xfrm>
          <a:off x="7962900" y="1203960"/>
          <a:ext cx="2159000" cy="1219200"/>
          <a:chOff x="7962900" y="1203960"/>
          <a:chExt cx="2159000" cy="1219200"/>
        </a:xfrm>
      </xdr:grpSpPr>
      <xdr:sp macro="" textlink="">
        <xdr:nvSpPr>
          <xdr:cNvPr id="304" name="cardBG_Margin">
            <a:extLst>
              <a:ext uri="{FF2B5EF4-FFF2-40B4-BE49-F238E27FC236}">
                <a16:creationId xmlns:a16="http://schemas.microsoft.com/office/drawing/2014/main" id="{38D41472-7429-F6F0-E897-49EB00DDAE7C}"/>
              </a:ext>
            </a:extLst>
          </xdr:cNvPr>
          <xdr:cNvSpPr/>
        </xdr:nvSpPr>
        <xdr:spPr>
          <a:xfrm>
            <a:off x="7962900" y="1203960"/>
            <a:ext cx="2159000" cy="1219200"/>
          </a:xfrm>
          <a:prstGeom prst="roundRect">
            <a:avLst/>
          </a:prstGeom>
          <a:solidFill>
            <a:srgbClr val="FF8000"/>
          </a:solidFill>
          <a:ln w="19050" cap="flat" cmpd="sng" algn="ctr">
            <a:noFill/>
            <a:prstDash val="solid"/>
            <a:miter lim="800000"/>
          </a:ln>
          <a:effectLst>
            <a:outerShdw blurRad="762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5" name="cardLBL_Margin">
            <a:extLst>
              <a:ext uri="{FF2B5EF4-FFF2-40B4-BE49-F238E27FC236}">
                <a16:creationId xmlns:a16="http://schemas.microsoft.com/office/drawing/2014/main" id="{11329195-9CC1-5D3A-DF49-9B9306BC13AB}"/>
              </a:ext>
            </a:extLst>
          </xdr:cNvPr>
          <xdr:cNvSpPr txBox="1"/>
        </xdr:nvSpPr>
        <xdr:spPr>
          <a:xfrm>
            <a:off x="8115300" y="1330960"/>
            <a:ext cx="18542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000">
                <a:solidFill>
                  <a:srgbClr val="FFFFFF"/>
                </a:solidFill>
                <a:latin typeface="Segoe UI Semibold" panose="020B0702040204020203" pitchFamily="34" charset="0"/>
              </a:rPr>
              <a:t>Margin</a:t>
            </a:r>
          </a:p>
        </xdr:txBody>
      </xdr:sp>
      <xdr:sp macro="" textlink="">
        <xdr:nvSpPr>
          <xdr:cNvPr id="306" name="cardVAL_Margin" descr="U5">
            <a:extLst>
              <a:ext uri="{FF2B5EF4-FFF2-40B4-BE49-F238E27FC236}">
                <a16:creationId xmlns:a16="http://schemas.microsoft.com/office/drawing/2014/main" id="{F3CA2E95-0CBA-0940-CBF9-5703D6942F38}"/>
              </a:ext>
            </a:extLst>
          </xdr:cNvPr>
          <xdr:cNvSpPr txBox="1"/>
        </xdr:nvSpPr>
        <xdr:spPr>
          <a:xfrm>
            <a:off x="8115300" y="1635760"/>
            <a:ext cx="18542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2200">
                <a:solidFill>
                  <a:srgbClr val="FFFFFF"/>
                </a:solidFill>
                <a:latin typeface="Segoe UI" panose="020B0502040204020203" pitchFamily="34" charset="0"/>
              </a:rPr>
              <a:t>17.6%</a:t>
            </a:r>
          </a:p>
        </xdr:txBody>
      </xdr:sp>
    </xdr:grpSp>
    <xdr:clientData/>
  </xdr:twoCellAnchor>
  <xdr:twoCellAnchor>
    <xdr:from>
      <xdr:col>1</xdr:col>
      <xdr:colOff>0</xdr:colOff>
      <xdr:row>12</xdr:row>
      <xdr:rowOff>0</xdr:rowOff>
    </xdr:from>
    <xdr:to>
      <xdr:col>8</xdr:col>
      <xdr:colOff>0</xdr:colOff>
      <xdr:row>28</xdr:row>
      <xdr:rowOff>0</xdr:rowOff>
    </xdr:to>
    <xdr:graphicFrame macro="">
      <xdr:nvGraphicFramePr>
        <xdr:cNvPr id="308" name="chtRevTarget">
          <a:extLst>
            <a:ext uri="{FF2B5EF4-FFF2-40B4-BE49-F238E27FC236}">
              <a16:creationId xmlns:a16="http://schemas.microsoft.com/office/drawing/2014/main" id="{9BE8484B-9900-D29A-4261-8D7D351E27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12</xdr:row>
      <xdr:rowOff>0</xdr:rowOff>
    </xdr:from>
    <xdr:to>
      <xdr:col>15</xdr:col>
      <xdr:colOff>0</xdr:colOff>
      <xdr:row>28</xdr:row>
      <xdr:rowOff>0</xdr:rowOff>
    </xdr:to>
    <xdr:graphicFrame macro="">
      <xdr:nvGraphicFramePr>
        <xdr:cNvPr id="309" name="chtProfitTrend">
          <a:extLst>
            <a:ext uri="{FF2B5EF4-FFF2-40B4-BE49-F238E27FC236}">
              <a16:creationId xmlns:a16="http://schemas.microsoft.com/office/drawing/2014/main" id="{99D11D41-D613-7572-BD4E-0D36F46762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29</xdr:row>
      <xdr:rowOff>0</xdr:rowOff>
    </xdr:from>
    <xdr:to>
      <xdr:col>8</xdr:col>
      <xdr:colOff>0</xdr:colOff>
      <xdr:row>45</xdr:row>
      <xdr:rowOff>0</xdr:rowOff>
    </xdr:to>
    <xdr:graphicFrame macro="">
      <xdr:nvGraphicFramePr>
        <xdr:cNvPr id="310" name="chtRevRegion">
          <a:extLst>
            <a:ext uri="{FF2B5EF4-FFF2-40B4-BE49-F238E27FC236}">
              <a16:creationId xmlns:a16="http://schemas.microsoft.com/office/drawing/2014/main" id="{2767BCA4-FA3F-C7A6-D005-556968A35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9</xdr:row>
      <xdr:rowOff>0</xdr:rowOff>
    </xdr:from>
    <xdr:to>
      <xdr:col>18</xdr:col>
      <xdr:colOff>25400</xdr:colOff>
      <xdr:row>10</xdr:row>
      <xdr:rowOff>147320</xdr:rowOff>
    </xdr:to>
    <xdr:sp macro="Import_Data_File" textlink="">
      <xdr:nvSpPr>
        <xdr:cNvPr id="316" name="btnImport">
          <a:extLst>
            <a:ext uri="{FF2B5EF4-FFF2-40B4-BE49-F238E27FC236}">
              <a16:creationId xmlns:a16="http://schemas.microsoft.com/office/drawing/2014/main" id="{9D86E0C7-2059-0536-2FD7-AAE6CA3DA650}"/>
            </a:ext>
          </a:extLst>
        </xdr:cNvPr>
        <xdr:cNvSpPr/>
      </xdr:nvSpPr>
      <xdr:spPr>
        <a:xfrm>
          <a:off x="14020800" y="2118360"/>
          <a:ext cx="1778000" cy="330200"/>
        </a:xfrm>
        <a:prstGeom prst="roundRect">
          <a:avLst/>
        </a:prstGeom>
        <a:solidFill>
          <a:srgbClr val="2DA555"/>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Import Data</a:t>
          </a:r>
        </a:p>
      </xdr:txBody>
    </xdr:sp>
    <xdr:clientData/>
  </xdr:twoCellAnchor>
  <xdr:twoCellAnchor>
    <xdr:from>
      <xdr:col>16</xdr:col>
      <xdr:colOff>0</xdr:colOff>
      <xdr:row>10</xdr:row>
      <xdr:rowOff>172720</xdr:rowOff>
    </xdr:from>
    <xdr:to>
      <xdr:col>18</xdr:col>
      <xdr:colOff>25400</xdr:colOff>
      <xdr:row>12</xdr:row>
      <xdr:rowOff>137160</xdr:rowOff>
    </xdr:to>
    <xdr:sp macro="Regenerate_From_Assumptions" textlink="">
      <xdr:nvSpPr>
        <xdr:cNvPr id="317" name="btnRegenerate">
          <a:extLst>
            <a:ext uri="{FF2B5EF4-FFF2-40B4-BE49-F238E27FC236}">
              <a16:creationId xmlns:a16="http://schemas.microsoft.com/office/drawing/2014/main" id="{083E1E9C-EA3D-6E83-3CF5-A365992B6126}"/>
            </a:ext>
          </a:extLst>
        </xdr:cNvPr>
        <xdr:cNvSpPr/>
      </xdr:nvSpPr>
      <xdr:spPr>
        <a:xfrm>
          <a:off x="14020800" y="2473960"/>
          <a:ext cx="1778000" cy="330200"/>
        </a:xfrm>
        <a:prstGeom prst="roundRect">
          <a:avLst/>
        </a:prstGeom>
        <a:solidFill>
          <a:srgbClr val="2173BD"/>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Regenerate Data</a:t>
          </a:r>
        </a:p>
      </xdr:txBody>
    </xdr:sp>
    <xdr:clientData/>
  </xdr:twoCellAnchor>
  <xdr:twoCellAnchor>
    <xdr:from>
      <xdr:col>16</xdr:col>
      <xdr:colOff>0</xdr:colOff>
      <xdr:row>12</xdr:row>
      <xdr:rowOff>162560</xdr:rowOff>
    </xdr:from>
    <xdr:to>
      <xdr:col>18</xdr:col>
      <xdr:colOff>25400</xdr:colOff>
      <xdr:row>14</xdr:row>
      <xdr:rowOff>127000</xdr:rowOff>
    </xdr:to>
    <xdr:sp macro="Refresh_All_Pivots" textlink="">
      <xdr:nvSpPr>
        <xdr:cNvPr id="318" name="btnRefresh">
          <a:extLst>
            <a:ext uri="{FF2B5EF4-FFF2-40B4-BE49-F238E27FC236}">
              <a16:creationId xmlns:a16="http://schemas.microsoft.com/office/drawing/2014/main" id="{F2A1E5D8-0D6B-C80A-239A-6415991B7454}"/>
            </a:ext>
          </a:extLst>
        </xdr:cNvPr>
        <xdr:cNvSpPr/>
      </xdr:nvSpPr>
      <xdr:spPr>
        <a:xfrm>
          <a:off x="14020800" y="2829560"/>
          <a:ext cx="1778000" cy="330200"/>
        </a:xfrm>
        <a:prstGeom prst="roundRect">
          <a:avLst/>
        </a:prstGeom>
        <a:solidFill>
          <a:srgbClr val="69737D"/>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Refresh Pivots</a:t>
          </a:r>
        </a:p>
      </xdr:txBody>
    </xdr:sp>
    <xdr:clientData/>
  </xdr:twoCellAnchor>
  <xdr:twoCellAnchor>
    <xdr:from>
      <xdr:col>16</xdr:col>
      <xdr:colOff>0</xdr:colOff>
      <xdr:row>14</xdr:row>
      <xdr:rowOff>152400</xdr:rowOff>
    </xdr:from>
    <xdr:to>
      <xdr:col>18</xdr:col>
      <xdr:colOff>25400</xdr:colOff>
      <xdr:row>16</xdr:row>
      <xdr:rowOff>116840</xdr:rowOff>
    </xdr:to>
    <xdr:sp macro="Reset_All_PivotFilters" textlink="">
      <xdr:nvSpPr>
        <xdr:cNvPr id="319" name="btnReset">
          <a:extLst>
            <a:ext uri="{FF2B5EF4-FFF2-40B4-BE49-F238E27FC236}">
              <a16:creationId xmlns:a16="http://schemas.microsoft.com/office/drawing/2014/main" id="{DACAB557-9F97-18B0-957F-92C14B9B0F43}"/>
            </a:ext>
          </a:extLst>
        </xdr:cNvPr>
        <xdr:cNvSpPr/>
      </xdr:nvSpPr>
      <xdr:spPr>
        <a:xfrm>
          <a:off x="14020800" y="3185160"/>
          <a:ext cx="1778000" cy="330200"/>
        </a:xfrm>
        <a:prstGeom prst="roundRect">
          <a:avLst/>
        </a:prstGeom>
        <a:solidFill>
          <a:srgbClr val="69737D"/>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Reset Filters</a:t>
          </a:r>
        </a:p>
      </xdr:txBody>
    </xdr:sp>
    <xdr:clientData/>
  </xdr:twoCellAnchor>
  <xdr:twoCellAnchor>
    <xdr:from>
      <xdr:col>16</xdr:col>
      <xdr:colOff>0</xdr:colOff>
      <xdr:row>16</xdr:row>
      <xdr:rowOff>142240</xdr:rowOff>
    </xdr:from>
    <xdr:to>
      <xdr:col>18</xdr:col>
      <xdr:colOff>25400</xdr:colOff>
      <xdr:row>18</xdr:row>
      <xdr:rowOff>106680</xdr:rowOff>
    </xdr:to>
    <xdr:sp macro="Add_Timeline_Slicer" textlink="">
      <xdr:nvSpPr>
        <xdr:cNvPr id="320" name="btnTimeline">
          <a:extLst>
            <a:ext uri="{FF2B5EF4-FFF2-40B4-BE49-F238E27FC236}">
              <a16:creationId xmlns:a16="http://schemas.microsoft.com/office/drawing/2014/main" id="{752000C1-1528-CF4C-D3EC-B2022D73FB3E}"/>
            </a:ext>
          </a:extLst>
        </xdr:cNvPr>
        <xdr:cNvSpPr/>
      </xdr:nvSpPr>
      <xdr:spPr>
        <a:xfrm>
          <a:off x="14020800" y="3540760"/>
          <a:ext cx="1778000" cy="330200"/>
        </a:xfrm>
        <a:prstGeom prst="roundRect">
          <a:avLst/>
        </a:prstGeom>
        <a:solidFill>
          <a:srgbClr val="69737D"/>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Show Timeline</a:t>
          </a:r>
        </a:p>
      </xdr:txBody>
    </xdr:sp>
    <xdr:clientData/>
  </xdr:twoCellAnchor>
  <xdr:twoCellAnchor>
    <xdr:from>
      <xdr:col>16</xdr:col>
      <xdr:colOff>0</xdr:colOff>
      <xdr:row>18</xdr:row>
      <xdr:rowOff>132080</xdr:rowOff>
    </xdr:from>
    <xdr:to>
      <xdr:col>18</xdr:col>
      <xdr:colOff>25400</xdr:colOff>
      <xdr:row>20</xdr:row>
      <xdr:rowOff>96520</xdr:rowOff>
    </xdr:to>
    <xdr:sp macro="Export_Dashboard_To_PDF" textlink="">
      <xdr:nvSpPr>
        <xdr:cNvPr id="350" name="btnPDF">
          <a:extLst>
            <a:ext uri="{FF2B5EF4-FFF2-40B4-BE49-F238E27FC236}">
              <a16:creationId xmlns:a16="http://schemas.microsoft.com/office/drawing/2014/main" id="{F4589C37-E5E9-B980-BD2B-8816371FB11A}"/>
            </a:ext>
          </a:extLst>
        </xdr:cNvPr>
        <xdr:cNvSpPr/>
      </xdr:nvSpPr>
      <xdr:spPr>
        <a:xfrm>
          <a:off x="14020800" y="3896360"/>
          <a:ext cx="1778000" cy="330200"/>
        </a:xfrm>
        <a:prstGeom prst="roundRect">
          <a:avLst/>
        </a:prstGeom>
        <a:solidFill>
          <a:srgbClr val="FF8000"/>
        </a:solidFill>
        <a:ln w="19050" cap="flat" cmpd="sng" algn="ctr">
          <a:noFill/>
          <a:prstDash val="solid"/>
          <a:miter lim="800000"/>
        </a:ln>
        <a:effectLst>
          <a:outerShdw blurRad="50800" dist="37357" dir="2700000" rotWithShape="0">
            <a:scrgbClr r="0" g="0" b="0"/>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latin typeface="Segoe UI Semibold" panose="020B0702040204020203" pitchFamily="34" charset="0"/>
            </a:rPr>
            <a:t>Export PDF</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Armeni" refreshedDate="46035.60149108796" createdVersion="8" refreshedVersion="8" minRefreshableVersion="3" recordCount="1152" xr:uid="{A69CB76B-DC80-4357-9945-3E496AC2CE4F}">
  <cacheSource type="worksheet">
    <worksheetSource ref="A1:J1153" sheet="DATA"/>
  </cacheSource>
  <cacheFields count="13">
    <cacheField name="Date" numFmtId="164">
      <sharedItems containsSemiMixedTypes="0" containsNonDate="0" containsDate="1" containsString="0" minDate="2024-08-01T00:00:00" maxDate="2026-02-01T00:00:00" count="481">
        <d v="2024-08-01T00:00:00"/>
        <d v="2024-08-02T00:00:00"/>
        <d v="2024-08-03T00:00:00"/>
        <d v="2024-08-04T00:00:00"/>
        <d v="2024-08-05T00:00:00"/>
        <d v="2024-08-06T00:00:00"/>
        <d v="2024-08-07T00:00:00"/>
        <d v="2024-08-08T00:00:00"/>
        <d v="2024-08-10T00:00:00"/>
        <d v="2024-08-11T00:00:00"/>
        <d v="2024-08-14T00:00:00"/>
        <d v="2024-08-16T00:00:00"/>
        <d v="2024-08-17T00:00:00"/>
        <d v="2024-08-18T00:00:00"/>
        <d v="2024-08-19T00:00:00"/>
        <d v="2024-08-22T00:00:00"/>
        <d v="2024-08-23T00:00:00"/>
        <d v="2024-08-24T00:00:00"/>
        <d v="2024-08-25T00:00:00"/>
        <d v="2024-08-26T00:00:00"/>
        <d v="2024-08-27T00:00:00"/>
        <d v="2024-08-29T00:00:00"/>
        <d v="2024-08-30T00:00:00"/>
        <d v="2024-08-31T00:00:00"/>
        <d v="2024-09-01T00:00:00"/>
        <d v="2024-09-02T00:00:00"/>
        <d v="2024-09-03T00:00:00"/>
        <d v="2024-09-05T00:00:00"/>
        <d v="2024-09-06T00:00:00"/>
        <d v="2024-09-07T00:00:00"/>
        <d v="2024-09-08T00:00:00"/>
        <d v="2024-09-09T00:00:00"/>
        <d v="2024-09-10T00:00:00"/>
        <d v="2024-09-11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10-01T00:00:00"/>
        <d v="2024-10-02T00:00:00"/>
        <d v="2024-10-03T00:00:00"/>
        <d v="2024-10-04T00:00:00"/>
        <d v="2024-10-05T00:00:00"/>
        <d v="2024-10-06T00:00:00"/>
        <d v="2024-10-07T00:00:00"/>
        <d v="2024-10-08T00:00:00"/>
        <d v="2024-10-09T00:00:00"/>
        <d v="2024-10-11T00:00:00"/>
        <d v="2024-10-12T00:00:00"/>
        <d v="2024-10-13T00:00:00"/>
        <d v="2024-10-14T00:00:00"/>
        <d v="2024-10-16T00:00:00"/>
        <d v="2024-10-17T00:00:00"/>
        <d v="2024-10-18T00:00:00"/>
        <d v="2024-10-19T00:00:00"/>
        <d v="2024-10-20T00:00:00"/>
        <d v="2024-10-21T00:00:00"/>
        <d v="2024-10-23T00:00:00"/>
        <d v="2024-10-24T00:00:00"/>
        <d v="2024-10-25T00:00:00"/>
        <d v="2024-10-26T00:00:00"/>
        <d v="2024-10-27T00:00:00"/>
        <d v="2024-10-28T00:00:00"/>
        <d v="2024-10-29T00:00:00"/>
        <d v="2024-10-31T00:00:00"/>
        <d v="2024-11-01T00:00:00"/>
        <d v="2024-11-02T00:00:00"/>
        <d v="2024-11-03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5T00:00:00"/>
        <d v="2024-11-26T00:00:00"/>
        <d v="2024-11-27T00:00:00"/>
        <d v="2024-11-28T00:00:00"/>
        <d v="2024-11-29T00:00:00"/>
        <d v="2024-11-30T00:00:00"/>
        <d v="2024-12-01T00:00:00"/>
        <d v="2024-12-02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7T00:00:00"/>
        <d v="2024-12-29T00:00:00"/>
        <d v="2024-12-30T00:00:00"/>
        <d v="2024-12-31T00:00:00"/>
        <d v="2025-01-01T00:00:00"/>
        <d v="2025-01-02T00:00:00"/>
        <d v="2025-01-03T00:00:00"/>
        <d v="2025-01-04T00:00:00"/>
        <d v="2025-01-05T00:00:00"/>
        <d v="2025-01-06T00:00:00"/>
        <d v="2025-01-07T00:00:00"/>
        <d v="2025-01-09T00:00:00"/>
        <d v="2025-01-11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2-01T00:00:00"/>
        <d v="2025-02-02T00:00:00"/>
        <d v="2025-02-03T00:00:00"/>
        <d v="2025-02-04T00:00:00"/>
        <d v="2025-02-05T00:00:00"/>
        <d v="2025-02-06T00:00:00"/>
        <d v="2025-02-07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4T00:00:00"/>
        <d v="2025-02-25T00:00:00"/>
        <d v="2025-02-26T00:00:00"/>
        <d v="2025-02-27T00:00:00"/>
        <d v="2025-02-28T00:00:00"/>
        <d v="2025-03-01T00:00:00"/>
        <d v="2025-03-02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5T00:00:00"/>
        <d v="2025-03-26T00:00:00"/>
        <d v="2025-03-27T00:00:00"/>
        <d v="2025-03-28T00:00:00"/>
        <d v="2025-03-29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5T00:00:00"/>
        <d v="2025-04-26T00:00:00"/>
        <d v="2025-04-27T00:00:00"/>
        <d v="2025-04-28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4T00:00:00"/>
        <d v="2025-06-15T00:00:00"/>
        <d v="2025-06-16T00:00:00"/>
        <d v="2025-06-18T00:00:00"/>
        <d v="2025-06-19T00:00:00"/>
        <d v="2025-06-20T00:00:00"/>
        <d v="2025-06-21T00:00:00"/>
        <d v="2025-06-22T00:00:00"/>
        <d v="2025-06-23T00:00:00"/>
        <d v="2025-06-24T00:00:00"/>
        <d v="2025-06-25T00:00:00"/>
        <d v="2025-06-28T00:00:00"/>
        <d v="2025-06-29T00:00:00"/>
        <d v="2025-06-30T00:00:00"/>
        <d v="2025-07-01T00:00:00"/>
        <d v="2025-07-03T00:00:00"/>
        <d v="2025-07-04T00:00:00"/>
        <d v="2025-07-05T00:00:00"/>
        <d v="2025-07-06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7T00:00:00"/>
        <d v="2025-07-28T00:00:00"/>
        <d v="2025-07-30T00:00:00"/>
        <d v="2025-07-31T00:00:00"/>
        <d v="2025-08-02T00:00:00"/>
        <d v="2025-08-03T00:00:00"/>
        <d v="2025-08-04T00:00:00"/>
        <d v="2025-08-05T00:00:00"/>
        <d v="2025-08-06T00:00:00"/>
        <d v="2025-08-07T00:00:00"/>
        <d v="2025-08-08T00:00:00"/>
        <d v="2025-08-09T00:00:00"/>
        <d v="2025-08-10T00:00:00"/>
        <d v="2025-08-11T00:00:00"/>
        <d v="2025-08-12T00:00:00"/>
        <d v="2025-08-14T00:00:00"/>
        <d v="2025-08-15T00:00:00"/>
        <d v="2025-08-16T00:00:00"/>
        <d v="2025-08-17T00:00:00"/>
        <d v="2025-08-18T00:00:00"/>
        <d v="2025-08-19T00:00:00"/>
        <d v="2025-08-20T00:00:00"/>
        <d v="2025-08-21T00:00:00"/>
        <d v="2025-08-22T00:00:00"/>
        <d v="2025-08-25T00:00:00"/>
        <d v="2025-08-26T00:00:00"/>
        <d v="2025-08-27T00:00:00"/>
        <d v="2025-08-29T00:00:00"/>
        <d v="2025-08-30T00:00:00"/>
        <d v="2025-08-31T00:00:00"/>
        <d v="2025-09-02T00:00:00"/>
        <d v="2025-09-03T00:00:00"/>
        <d v="2025-09-04T00:00:00"/>
        <d v="2025-09-05T00:00:00"/>
        <d v="2025-09-06T00:00:00"/>
        <d v="2025-09-08T00:00:00"/>
        <d v="2025-09-09T00:00:00"/>
        <d v="2025-09-10T00:00:00"/>
        <d v="2025-09-11T00:00:00"/>
        <d v="2025-09-12T00:00:00"/>
        <d v="2025-09-13T00:00:00"/>
        <d v="2025-09-14T00:00:00"/>
        <d v="2025-09-16T00:00:00"/>
        <d v="2025-09-17T00:00:00"/>
        <d v="2025-09-18T00:00:00"/>
        <d v="2025-09-19T00:00:00"/>
        <d v="2025-09-20T00:00:00"/>
        <d v="2025-09-21T00:00:00"/>
        <d v="2025-09-22T00:00:00"/>
        <d v="2025-09-23T00:00:00"/>
        <d v="2025-09-24T00:00:00"/>
        <d v="2025-09-25T00:00:00"/>
        <d v="2025-09-26T00:00:00"/>
        <d v="2025-09-27T00:00:00"/>
        <d v="2025-09-28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7T00:00:00"/>
        <d v="2025-10-18T00:00:00"/>
        <d v="2025-10-19T00:00:00"/>
        <d v="2025-10-20T00:00:00"/>
        <d v="2025-10-21T00:00:00"/>
        <d v="2025-10-23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2T00:00:00"/>
        <d v="2025-11-13T00:00:00"/>
        <d v="2025-11-16T00:00:00"/>
        <d v="2025-11-17T00:00:00"/>
        <d v="2025-11-18T00:00:00"/>
        <d v="2025-11-19T00:00:00"/>
        <d v="2025-11-20T00:00:00"/>
        <d v="2025-11-21T00:00:00"/>
        <d v="2025-11-22T00:00:00"/>
        <d v="2025-11-23T00:00:00"/>
        <d v="2025-11-24T00:00:00"/>
        <d v="2025-11-26T00:00:00"/>
        <d v="2025-11-27T00:00:00"/>
        <d v="2025-11-28T00:00:00"/>
        <d v="2025-11-29T00:00:00"/>
        <d v="2025-11-30T00:00:00"/>
        <d v="2025-12-01T00:00:00"/>
        <d v="2025-12-02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1T00:00:00"/>
        <d v="2025-12-22T00:00:00"/>
        <d v="2025-12-23T00:00:00"/>
        <d v="2025-12-25T00:00:00"/>
        <d v="2025-12-26T00:00:00"/>
        <d v="2025-12-27T00:00:00"/>
        <d v="2025-12-29T00:00:00"/>
        <d v="2025-12-30T00:00:00"/>
        <d v="2025-12-31T00:00:00"/>
        <d v="2026-01-01T00:00:00"/>
        <d v="2026-01-02T00:00:00"/>
        <d v="2026-01-04T00:00:00"/>
        <d v="2026-01-06T00:00:00"/>
        <d v="2026-01-07T00:00:00"/>
        <d v="2026-01-08T00:00:00"/>
        <d v="2026-01-09T00:00:00"/>
        <d v="2026-01-10T00:00:00"/>
        <d v="2026-01-11T00:00:00"/>
        <d v="2026-01-12T00:00:00"/>
        <d v="2026-01-13T00:00:00"/>
        <d v="2026-01-14T00:00:00"/>
        <d v="2026-01-16T00:00:00"/>
        <d v="2026-01-17T00:00:00"/>
        <d v="2026-01-18T00:00:00"/>
        <d v="2026-01-20T00:00:00"/>
        <d v="2026-01-22T00:00:00"/>
        <d v="2026-01-23T00:00:00"/>
        <d v="2026-01-24T00:00:00"/>
        <d v="2026-01-25T00:00:00"/>
        <d v="2026-01-26T00:00:00"/>
        <d v="2026-01-27T00:00:00"/>
        <d v="2026-01-28T00:00:00"/>
        <d v="2026-01-29T00:00:00"/>
        <d v="2026-01-30T00:00:00"/>
        <d v="2026-01-31T00:00:00"/>
      </sharedItems>
      <fieldGroup par="12"/>
    </cacheField>
    <cacheField name="Month" numFmtId="1">
      <sharedItems containsSemiMixedTypes="0" containsString="0" containsNumber="1" containsInteger="1" minValue="1" maxValue="12"/>
    </cacheField>
    <cacheField name="Year" numFmtId="1">
      <sharedItems containsSemiMixedTypes="0" containsString="0" containsNumber="1" containsInteger="1" minValue="2024" maxValue="2026"/>
    </cacheField>
    <cacheField name="Quarter" numFmtId="1">
      <sharedItems containsSemiMixedTypes="0" containsString="0" containsNumber="1" containsInteger="1" minValue="1" maxValue="4"/>
    </cacheField>
    <cacheField name="Account" numFmtId="0">
      <sharedItems/>
    </cacheField>
    <cacheField name="Type" numFmtId="0">
      <sharedItems count="2">
        <s v="Expense"/>
        <s v="Revenue"/>
      </sharedItems>
    </cacheField>
    <cacheField name="Region" numFmtId="0">
      <sharedItems count="4">
        <s v="East"/>
        <s v="West"/>
        <s v="North"/>
        <s v="South"/>
      </sharedItems>
    </cacheField>
    <cacheField name="Description" numFmtId="0">
      <sharedItems/>
    </cacheField>
    <cacheField name="Amount" numFmtId="165">
      <sharedItems containsSemiMixedTypes="0" containsString="0" containsNumber="1" minValue="-53877.539999999994" maxValue="40558.21"/>
    </cacheField>
    <cacheField name="Target" numFmtId="165">
      <sharedItems containsString="0" containsBlank="1" containsNumber="1" minValue="3430.2" maxValue="43391.99"/>
    </cacheField>
    <cacheField name="Months (Date)" numFmtId="0" databaseField="0">
      <fieldGroup base="0">
        <rangePr groupBy="months" startDate="2024-08-01T00:00:00" endDate="2026-02-01T00:00:00"/>
        <groupItems count="14">
          <s v="&lt;8/1/2024"/>
          <s v="Jan"/>
          <s v="Feb"/>
          <s v="Mar"/>
          <s v="Apr"/>
          <s v="May"/>
          <s v="Jun"/>
          <s v="Jul"/>
          <s v="Aug"/>
          <s v="Sep"/>
          <s v="Oct"/>
          <s v="Nov"/>
          <s v="Dec"/>
          <s v="&gt;2/1/2026"/>
        </groupItems>
      </fieldGroup>
    </cacheField>
    <cacheField name="Quarters (Date)" numFmtId="0" databaseField="0">
      <fieldGroup base="0">
        <rangePr groupBy="quarters" startDate="2024-08-01T00:00:00" endDate="2026-02-01T00:00:00"/>
        <groupItems count="6">
          <s v="&lt;8/1/2024"/>
          <s v="Qtr1"/>
          <s v="Qtr2"/>
          <s v="Qtr3"/>
          <s v="Qtr4"/>
          <s v="&gt;2/1/2026"/>
        </groupItems>
      </fieldGroup>
    </cacheField>
    <cacheField name="Years (Date)" numFmtId="0" databaseField="0">
      <fieldGroup base="0">
        <rangePr groupBy="years" startDate="2024-08-01T00:00:00" endDate="2026-02-01T00:00:00"/>
        <groupItems count="5">
          <s v="&lt;8/1/2024"/>
          <s v="2024"/>
          <s v="2025"/>
          <s v="2026"/>
          <s v="&gt;2/1/2026"/>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Armeni" refreshedDate="45957.355455555553" createdVersion="3" refreshedVersion="8" minRefreshableVersion="3" recordCount="1152" xr:uid="{22EB8A5D-AB7E-442A-B589-1653915770D3}">
  <cacheSource type="worksheet">
    <worksheetSource ref="A1:J1153" sheet="DATA"/>
  </cacheSource>
  <cacheFields count="13">
    <cacheField name="Date" numFmtId="164">
      <sharedItems containsSemiMixedTypes="0" containsNonDate="0" containsDate="1" containsString="0" minDate="2024-05-01T00:00:00" maxDate="2025-11-01T00:00:00" count="474">
        <d v="2024-05-01T00:00:00"/>
        <d v="2024-05-02T00:00:00"/>
        <d v="2024-05-03T00:00:00"/>
        <d v="2024-05-04T00:00:00"/>
        <d v="2024-05-05T00:00:00"/>
        <d v="2024-05-06T00:00:00"/>
        <d v="2024-05-07T00:00:00"/>
        <d v="2024-05-08T00:00:00"/>
        <d v="2024-05-10T00:00:00"/>
        <d v="2024-05-11T00:00:00"/>
        <d v="2024-05-14T00:00:00"/>
        <d v="2024-05-16T00:00:00"/>
        <d v="2024-05-17T00:00:00"/>
        <d v="2024-05-18T00:00:00"/>
        <d v="2024-05-19T00:00:00"/>
        <d v="2024-05-22T00:00:00"/>
        <d v="2024-05-23T00:00:00"/>
        <d v="2024-05-24T00:00:00"/>
        <d v="2024-05-25T00:00:00"/>
        <d v="2024-05-26T00:00:00"/>
        <d v="2024-05-27T00:00:00"/>
        <d v="2024-05-29T00:00:00"/>
        <d v="2024-05-30T00:00:00"/>
        <d v="2024-05-31T00:00:00"/>
        <d v="2024-06-01T00:00:00"/>
        <d v="2024-06-02T00:00:00"/>
        <d v="2024-06-03T00:00:00"/>
        <d v="2024-06-05T00:00:00"/>
        <d v="2024-06-06T00:00:00"/>
        <d v="2024-06-07T00:00:00"/>
        <d v="2024-06-08T00:00:00"/>
        <d v="2024-06-09T00:00:00"/>
        <d v="2024-06-10T00:00:00"/>
        <d v="2024-06-11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7-01T00:00:00"/>
        <d v="2024-07-02T00:00:00"/>
        <d v="2024-07-03T00:00:00"/>
        <d v="2024-07-04T00:00:00"/>
        <d v="2024-07-05T00:00:00"/>
        <d v="2024-07-06T00:00:00"/>
        <d v="2024-07-07T00:00:00"/>
        <d v="2024-07-08T00:00:00"/>
        <d v="2024-07-09T00:00:00"/>
        <d v="2024-07-11T00:00:00"/>
        <d v="2024-07-12T00:00:00"/>
        <d v="2024-07-13T00:00:00"/>
        <d v="2024-07-14T00:00:00"/>
        <d v="2024-07-16T00:00:00"/>
        <d v="2024-07-17T00:00:00"/>
        <d v="2024-07-18T00:00:00"/>
        <d v="2024-07-19T00:00:00"/>
        <d v="2024-07-20T00:00:00"/>
        <d v="2024-07-21T00:00:00"/>
        <d v="2024-07-23T00:00:00"/>
        <d v="2024-07-24T00:00:00"/>
        <d v="2024-07-25T00:00:00"/>
        <d v="2024-07-26T00:00:00"/>
        <d v="2024-07-27T00:00:00"/>
        <d v="2024-07-28T00:00:00"/>
        <d v="2024-07-29T00:00:00"/>
        <d v="2024-07-31T00:00:00"/>
        <d v="2024-08-01T00:00:00"/>
        <d v="2024-08-02T00:00:00"/>
        <d v="2024-08-03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3T00:00:00"/>
        <d v="2024-08-24T00:00:00"/>
        <d v="2024-08-26T00:00:00"/>
        <d v="2024-08-27T00:00:00"/>
        <d v="2024-08-28T00:00:00"/>
        <d v="2024-08-29T00:00:00"/>
        <d v="2024-08-30T00:00:00"/>
        <d v="2024-08-31T00:00:00"/>
        <d v="2024-09-01T00:00:00"/>
        <d v="2024-09-02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6T00:00:00"/>
        <d v="2024-09-28T00:00:00"/>
        <d v="2024-09-29T00:00:00"/>
        <d v="2024-09-30T00:00:00"/>
        <d v="2024-10-01T00:00:00"/>
        <d v="2024-10-02T00:00:00"/>
        <d v="2024-10-03T00:00:00"/>
        <d v="2024-10-04T00:00:00"/>
        <d v="2024-10-05T00:00:00"/>
        <d v="2024-10-06T00:00:00"/>
        <d v="2024-10-07T00:00:00"/>
        <d v="2024-10-09T00:00:00"/>
        <d v="2024-10-11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1-01T00:00:00"/>
        <d v="2024-11-02T00:00:00"/>
        <d v="2024-11-03T00:00:00"/>
        <d v="2024-11-04T00:00:00"/>
        <d v="2024-11-05T00:00:00"/>
        <d v="2024-11-06T00:00:00"/>
        <d v="2024-11-07T00:00:00"/>
        <d v="2024-11-08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8T00:00:00"/>
        <d v="2024-11-29T00:00:00"/>
        <d v="2024-11-30T00:00:00"/>
        <d v="2024-12-01T00:00:00"/>
        <d v="2024-12-02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5T00:00:00"/>
        <d v="2024-12-26T00:00:00"/>
        <d v="2024-12-27T00:00:00"/>
        <d v="2024-12-28T00:00:00"/>
        <d v="2024-12-29T00:00:00"/>
        <d v="2025-01-01T00:00:00"/>
        <d v="2025-01-02T00:00:00"/>
        <d v="2025-01-03T00:00:00"/>
        <d v="2025-01-04T00:00:00"/>
        <d v="2025-01-05T00:00:00"/>
        <d v="2025-01-06T00:00:00"/>
        <d v="2025-01-07T00:00:00"/>
        <d v="2025-01-08T00:00:00"/>
        <d v="2025-01-09T00:00:00"/>
        <d v="2025-01-10T00:00:00"/>
        <d v="2025-01-11T00:00:00"/>
        <d v="2025-01-12T00:00:00"/>
        <d v="2025-01-14T00:00:00"/>
        <d v="2025-01-15T00:00:00"/>
        <d v="2025-01-16T00:00:00"/>
        <d v="2025-01-18T00:00:00"/>
        <d v="2025-01-19T00:00:00"/>
        <d v="2025-01-20T00:00:00"/>
        <d v="2025-01-21T00:00:00"/>
        <d v="2025-01-22T00:00:00"/>
        <d v="2025-01-24T00:00:00"/>
        <d v="2025-01-25T00:00:00"/>
        <d v="2025-01-26T00:00:00"/>
        <d v="2025-01-27T00:00:00"/>
        <d v="2025-01-28T00:00:00"/>
        <d v="2025-01-29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7T00:00:00"/>
        <d v="2025-02-18T00:00:00"/>
        <d v="2025-02-19T00:00:00"/>
        <d v="2025-02-20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4T00:00:00"/>
        <d v="2025-03-16T00:00:00"/>
        <d v="2025-03-17T00:00:00"/>
        <d v="2025-03-18T00:00:00"/>
        <d v="2025-03-19T00:00:00"/>
        <d v="2025-03-20T00:00:00"/>
        <d v="2025-03-22T00:00:00"/>
        <d v="2025-03-23T00:00:00"/>
        <d v="2025-03-24T00:00:00"/>
        <d v="2025-03-25T00:00:00"/>
        <d v="2025-03-26T00:00:00"/>
        <d v="2025-03-29T00:00:00"/>
        <d v="2025-03-30T00:00:00"/>
        <d v="2025-03-31T00:00:00"/>
        <d v="2025-04-01T00:00:00"/>
        <d v="2025-04-03T00:00:00"/>
        <d v="2025-04-04T00:00:00"/>
        <d v="2025-04-05T00:00:00"/>
        <d v="2025-04-06T00:00:00"/>
        <d v="2025-04-08T00:00:00"/>
        <d v="2025-04-09T00:00:00"/>
        <d v="2025-04-10T00:00:00"/>
        <d v="2025-04-11T00:00:00"/>
        <d v="2025-04-12T00:00:00"/>
        <d v="2025-04-13T00:00:00"/>
        <d v="2025-04-14T00:00:00"/>
        <d v="2025-04-15T00:00:00"/>
        <d v="2025-04-16T00:00:00"/>
        <d v="2025-04-17T00:00:00"/>
        <d v="2025-04-19T00:00:00"/>
        <d v="2025-04-20T00:00:00"/>
        <d v="2025-04-21T00:00:00"/>
        <d v="2025-04-22T00:00:00"/>
        <d v="2025-04-23T00:00:00"/>
        <d v="2025-04-24T00:00:00"/>
        <d v="2025-04-26T00:00:00"/>
        <d v="2025-04-27T00:00:00"/>
        <d v="2025-04-29T00:00:00"/>
        <d v="2025-04-30T00:00:00"/>
        <d v="2025-05-02T00:00:00"/>
        <d v="2025-05-03T00:00:00"/>
        <d v="2025-05-04T00:00:00"/>
        <d v="2025-05-05T00:00:00"/>
        <d v="2025-05-06T00:00:00"/>
        <d v="2025-05-07T00:00:00"/>
        <d v="2025-05-08T00:00:00"/>
        <d v="2025-05-09T00:00:00"/>
        <d v="2025-05-10T00:00:00"/>
        <d v="2025-05-11T00:00:00"/>
        <d v="2025-05-12T00:00:00"/>
        <d v="2025-05-14T00:00:00"/>
        <d v="2025-05-15T00:00:00"/>
        <d v="2025-05-16T00:00:00"/>
        <d v="2025-05-17T00:00:00"/>
        <d v="2025-05-18T00:00:00"/>
        <d v="2025-05-19T00:00:00"/>
        <d v="2025-05-20T00:00:00"/>
        <d v="2025-05-21T00:00:00"/>
        <d v="2025-05-22T00:00:00"/>
        <d v="2025-05-25T00:00:00"/>
        <d v="2025-05-26T00:00:00"/>
        <d v="2025-05-27T00:00:00"/>
        <d v="2025-05-29T00:00:00"/>
        <d v="2025-05-30T00:00:00"/>
        <d v="2025-05-31T00:00:00"/>
        <d v="2025-06-02T00:00:00"/>
        <d v="2025-06-03T00:00:00"/>
        <d v="2025-06-04T00:00:00"/>
        <d v="2025-06-05T00:00:00"/>
        <d v="2025-06-06T00:00:00"/>
        <d v="2025-06-08T00:00:00"/>
        <d v="2025-06-09T00:00:00"/>
        <d v="2025-06-10T00:00:00"/>
        <d v="2025-06-11T00:00:00"/>
        <d v="2025-06-12T00:00:00"/>
        <d v="2025-06-13T00:00:00"/>
        <d v="2025-06-14T00:00:00"/>
        <d v="2025-06-16T00:00:00"/>
        <d v="2025-06-17T00:00:00"/>
        <d v="2025-06-18T00:00:00"/>
        <d v="2025-06-19T00:00:00"/>
        <d v="2025-06-20T00:00:00"/>
        <d v="2025-06-21T00:00:00"/>
        <d v="2025-06-22T00:00:00"/>
        <d v="2025-06-23T00:00:00"/>
        <d v="2025-06-24T00:00:00"/>
        <d v="2025-06-25T00:00:00"/>
        <d v="2025-06-26T00:00:00"/>
        <d v="2025-06-27T00:00:00"/>
        <d v="2025-06-28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7T00:00:00"/>
        <d v="2025-07-18T00:00:00"/>
        <d v="2025-07-19T00:00:00"/>
        <d v="2025-07-20T00:00:00"/>
        <d v="2025-07-21T00:00:00"/>
        <d v="2025-07-23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3T00:00:00"/>
        <d v="2025-08-17T00:00:00"/>
        <d v="2025-08-19T00:00:00"/>
        <d v="2025-08-20T00:00:00"/>
        <d v="2025-08-21T00:00:00"/>
        <d v="2025-08-22T00:00:00"/>
        <d v="2025-08-24T00:00:00"/>
        <d v="2025-08-25T00:00:00"/>
        <d v="2025-08-26T00:00:00"/>
        <d v="2025-08-27T00:00:00"/>
        <d v="2025-08-28T00:00:00"/>
        <d v="2025-08-29T00:00:00"/>
        <d v="2025-08-30T00:00:00"/>
        <d v="2025-08-31T00:00:00"/>
        <d v="2025-09-01T00:00:00"/>
        <d v="2025-09-02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20T00:00:00"/>
        <d v="2025-09-21T00:00:00"/>
        <d v="2025-09-22T00:00:00"/>
        <d v="2025-09-24T00:00:00"/>
        <d v="2025-09-25T00:00:00"/>
        <d v="2025-09-26T00:00:00"/>
        <d v="2025-09-28T00:00:00"/>
        <d v="2025-09-29T00:00:00"/>
        <d v="2025-09-30T00:00:00"/>
        <d v="2025-10-01T00:00:00"/>
        <d v="2025-10-02T00:00:00"/>
        <d v="2025-10-04T00:00:00"/>
        <d v="2025-10-06T00:00:00"/>
        <d v="2025-10-07T00:00:00"/>
        <d v="2025-10-08T00:00:00"/>
        <d v="2025-10-09T00:00:00"/>
        <d v="2025-10-10T00:00:00"/>
        <d v="2025-10-11T00:00:00"/>
        <d v="2025-10-12T00:00:00"/>
        <d v="2025-10-13T00:00:00"/>
        <d v="2025-10-14T00:00:00"/>
        <d v="2025-10-16T00:00:00"/>
        <d v="2025-10-17T00:00:00"/>
        <d v="2025-10-18T00:00:00"/>
        <d v="2025-10-20T00:00:00"/>
        <d v="2025-10-22T00:00:00"/>
        <d v="2025-10-23T00:00:00"/>
        <d v="2025-10-24T00:00:00"/>
        <d v="2025-10-25T00:00:00"/>
        <d v="2025-10-26T00:00:00"/>
        <d v="2025-10-27T00:00:00"/>
        <d v="2025-10-28T00:00:00"/>
        <d v="2025-10-29T00:00:00"/>
        <d v="2025-10-30T00:00:00"/>
        <d v="2025-10-31T00:00:00"/>
      </sharedItems>
      <fieldGroup par="12"/>
    </cacheField>
    <cacheField name="Month" numFmtId="1">
      <sharedItems containsSemiMixedTypes="0" containsString="0" containsNumber="1" containsInteger="1" minValue="1" maxValue="12"/>
    </cacheField>
    <cacheField name="Year" numFmtId="1">
      <sharedItems containsSemiMixedTypes="0" containsString="0" containsNumber="1" containsInteger="1" minValue="2024" maxValue="2025"/>
    </cacheField>
    <cacheField name="Quarter" numFmtId="1">
      <sharedItems containsSemiMixedTypes="0" containsString="0" containsNumber="1" containsInteger="1" minValue="1" maxValue="4"/>
    </cacheField>
    <cacheField name="Account" numFmtId="0">
      <sharedItems count="8">
        <s v="Services"/>
        <s v="R&amp;D"/>
        <s v="G&amp;A"/>
        <s v="Subscriptions"/>
        <s v="Marketing"/>
        <s v="HR"/>
        <s v="Sales"/>
        <s v="Operations"/>
      </sharedItems>
    </cacheField>
    <cacheField name="Type" numFmtId="0">
      <sharedItems count="2">
        <s v="Expense"/>
        <s v="Revenue"/>
      </sharedItems>
    </cacheField>
    <cacheField name="Region" numFmtId="0">
      <sharedItems count="4">
        <s v="East"/>
        <s v="West"/>
        <s v="North"/>
        <s v="South"/>
      </sharedItems>
    </cacheField>
    <cacheField name="Description" numFmtId="0">
      <sharedItems/>
    </cacheField>
    <cacheField name="Amount" numFmtId="165">
      <sharedItems containsSemiMixedTypes="0" containsString="0" containsNumber="1" minValue="-51483.02" maxValue="39878.120000000003"/>
    </cacheField>
    <cacheField name="Target" numFmtId="165">
      <sharedItems containsString="0" containsBlank="1" containsNumber="1" minValue="3395.69" maxValue="41511.230000000003"/>
    </cacheField>
    <cacheField name="Months (Date)" numFmtId="0" databaseField="0">
      <fieldGroup base="0">
        <rangePr groupBy="months" startDate="2024-05-01T00:00:00" endDate="2025-11-01T00:00:00"/>
        <groupItems count="14">
          <s v="&lt;5/1/2024"/>
          <s v="Jan"/>
          <s v="Feb"/>
          <s v="Mar"/>
          <s v="Apr"/>
          <s v="May"/>
          <s v="Jun"/>
          <s v="Jul"/>
          <s v="Aug"/>
          <s v="Sep"/>
          <s v="Oct"/>
          <s v="Nov"/>
          <s v="Dec"/>
          <s v="&gt;11/1/2025"/>
        </groupItems>
      </fieldGroup>
    </cacheField>
    <cacheField name="Quarters (Date)" numFmtId="0" databaseField="0">
      <fieldGroup base="0">
        <rangePr groupBy="quarters" startDate="2024-05-01T00:00:00" endDate="2025-11-01T00:00:00"/>
        <groupItems count="6">
          <s v="&lt;5/1/2024"/>
          <s v="Qtr1"/>
          <s v="Qtr2"/>
          <s v="Qtr3"/>
          <s v="Qtr4"/>
          <s v="&gt;11/1/2025"/>
        </groupItems>
      </fieldGroup>
    </cacheField>
    <cacheField name="Years (Date)" numFmtId="0" databaseField="0">
      <fieldGroup base="0">
        <rangePr groupBy="years" startDate="2024-05-01T00:00:00" endDate="2025-11-01T00:00:00"/>
        <groupItems count="4">
          <s v="&lt;5/1/2024"/>
          <s v="2024"/>
          <s v="2025"/>
          <s v="&gt;11/1/2025"/>
        </groupItems>
      </fieldGroup>
    </cacheField>
  </cacheFields>
  <extLst>
    <ext xmlns:x14="http://schemas.microsoft.com/office/spreadsheetml/2009/9/main" uri="{725AE2AE-9491-48be-B2B4-4EB974FC3084}">
      <x14:pivotCacheDefinition pivotCacheId="8758519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52">
  <r>
    <x v="0"/>
    <n v="8"/>
    <n v="2024"/>
    <n v="3"/>
    <s v="Services"/>
    <x v="0"/>
    <x v="0"/>
    <s v="Services Expense - East"/>
    <n v="-11865.46"/>
    <m/>
  </r>
  <r>
    <x v="0"/>
    <n v="8"/>
    <n v="2024"/>
    <n v="3"/>
    <s v="R&amp;D"/>
    <x v="0"/>
    <x v="0"/>
    <s v="R&amp;D Expense - East"/>
    <n v="-13226.78"/>
    <m/>
  </r>
  <r>
    <x v="0"/>
    <n v="8"/>
    <n v="2024"/>
    <n v="3"/>
    <s v="G&amp;A"/>
    <x v="0"/>
    <x v="1"/>
    <s v="G&amp;A Expense - West"/>
    <n v="-3873.44"/>
    <m/>
  </r>
  <r>
    <x v="0"/>
    <n v="8"/>
    <n v="2024"/>
    <n v="3"/>
    <s v="Services"/>
    <x v="0"/>
    <x v="2"/>
    <s v="Services Expense - North"/>
    <n v="-6214.49"/>
    <m/>
  </r>
  <r>
    <x v="0"/>
    <n v="8"/>
    <n v="2024"/>
    <n v="3"/>
    <s v="Subscriptions"/>
    <x v="1"/>
    <x v="2"/>
    <s v="Subscriptions Revenue - North"/>
    <n v="25773.23"/>
    <n v="25914.41"/>
  </r>
  <r>
    <x v="1"/>
    <n v="8"/>
    <n v="2024"/>
    <n v="3"/>
    <s v="Marketing"/>
    <x v="0"/>
    <x v="0"/>
    <s v="Marketing Expense - East"/>
    <n v="-7089.09"/>
    <m/>
  </r>
  <r>
    <x v="2"/>
    <n v="8"/>
    <n v="2024"/>
    <n v="3"/>
    <s v="HR"/>
    <x v="0"/>
    <x v="1"/>
    <s v="HR Expense - West"/>
    <n v="-6646.1"/>
    <m/>
  </r>
  <r>
    <x v="3"/>
    <n v="8"/>
    <n v="2024"/>
    <n v="3"/>
    <s v="Sales"/>
    <x v="1"/>
    <x v="0"/>
    <s v="Sales Revenue - East"/>
    <n v="34145.760000000002"/>
    <n v="32613.16"/>
  </r>
  <r>
    <x v="3"/>
    <n v="8"/>
    <n v="2024"/>
    <n v="3"/>
    <s v="Marketing"/>
    <x v="1"/>
    <x v="0"/>
    <s v="Marketing Revenue - East"/>
    <n v="9637.69"/>
    <n v="9656.65"/>
  </r>
  <r>
    <x v="4"/>
    <n v="8"/>
    <n v="2024"/>
    <n v="3"/>
    <s v="Subscriptions"/>
    <x v="0"/>
    <x v="0"/>
    <s v="Subscriptions Expense - East"/>
    <n v="-8039.03"/>
    <m/>
  </r>
  <r>
    <x v="4"/>
    <n v="8"/>
    <n v="2024"/>
    <n v="3"/>
    <s v="G&amp;A"/>
    <x v="0"/>
    <x v="0"/>
    <s v="G&amp;A Expense - East"/>
    <n v="-9547.89"/>
    <m/>
  </r>
  <r>
    <x v="4"/>
    <n v="8"/>
    <n v="2024"/>
    <n v="3"/>
    <s v="R&amp;D"/>
    <x v="0"/>
    <x v="1"/>
    <s v="R&amp;D Expense - West"/>
    <n v="-8538.07"/>
    <m/>
  </r>
  <r>
    <x v="4"/>
    <n v="8"/>
    <n v="2024"/>
    <n v="3"/>
    <s v="Operations"/>
    <x v="1"/>
    <x v="2"/>
    <s v="Operations Revenue - North"/>
    <n v="14345.85"/>
    <n v="14235.74"/>
  </r>
  <r>
    <x v="5"/>
    <n v="8"/>
    <n v="2024"/>
    <n v="3"/>
    <s v="Sales"/>
    <x v="0"/>
    <x v="0"/>
    <s v="Sales Expense - East"/>
    <n v="-16350.55"/>
    <m/>
  </r>
  <r>
    <x v="5"/>
    <n v="8"/>
    <n v="2024"/>
    <n v="3"/>
    <s v="Subscriptions"/>
    <x v="1"/>
    <x v="1"/>
    <s v="Subscriptions Revenue - West"/>
    <n v="27133.59"/>
    <n v="27223.99"/>
  </r>
  <r>
    <x v="5"/>
    <n v="8"/>
    <n v="2024"/>
    <n v="3"/>
    <s v="Subscriptions"/>
    <x v="0"/>
    <x v="2"/>
    <s v="Subscriptions Expense - North"/>
    <n v="-30130.74"/>
    <m/>
  </r>
  <r>
    <x v="5"/>
    <n v="8"/>
    <n v="2024"/>
    <n v="3"/>
    <s v="G&amp;A"/>
    <x v="0"/>
    <x v="2"/>
    <s v="G&amp;A Expense - North"/>
    <n v="-2811.66"/>
    <m/>
  </r>
  <r>
    <x v="5"/>
    <n v="8"/>
    <n v="2024"/>
    <n v="3"/>
    <s v="Services"/>
    <x v="0"/>
    <x v="3"/>
    <s v="Services Expense - South"/>
    <n v="-12078.88"/>
    <m/>
  </r>
  <r>
    <x v="6"/>
    <n v="8"/>
    <n v="2024"/>
    <n v="3"/>
    <s v="Operations"/>
    <x v="0"/>
    <x v="1"/>
    <s v="Operations Expense - West"/>
    <n v="-7101.88"/>
    <m/>
  </r>
  <r>
    <x v="7"/>
    <n v="8"/>
    <n v="2024"/>
    <n v="3"/>
    <s v="Sales"/>
    <x v="0"/>
    <x v="1"/>
    <s v="Sales Expense - West"/>
    <n v="-20700.14"/>
    <m/>
  </r>
  <r>
    <x v="7"/>
    <n v="8"/>
    <n v="2024"/>
    <n v="3"/>
    <s v="HR"/>
    <x v="1"/>
    <x v="3"/>
    <s v="HR Revenue - South"/>
    <n v="3852.71"/>
    <n v="4128.54"/>
  </r>
  <r>
    <x v="8"/>
    <n v="8"/>
    <n v="2024"/>
    <n v="3"/>
    <s v="Services"/>
    <x v="0"/>
    <x v="1"/>
    <s v="Services Expense - West"/>
    <n v="-27342.29"/>
    <m/>
  </r>
  <r>
    <x v="9"/>
    <n v="8"/>
    <n v="2024"/>
    <n v="3"/>
    <s v="HR"/>
    <x v="0"/>
    <x v="3"/>
    <s v="HR Expense - South"/>
    <n v="-2743.58"/>
    <m/>
  </r>
  <r>
    <x v="9"/>
    <n v="8"/>
    <n v="2024"/>
    <n v="3"/>
    <s v="R&amp;D"/>
    <x v="0"/>
    <x v="3"/>
    <s v="R&amp;D Expense - South"/>
    <n v="-4777.0600000000004"/>
    <m/>
  </r>
  <r>
    <x v="9"/>
    <n v="8"/>
    <n v="2024"/>
    <n v="3"/>
    <s v="G&amp;A"/>
    <x v="0"/>
    <x v="3"/>
    <s v="G&amp;A Expense - South"/>
    <n v="-7454.15"/>
    <m/>
  </r>
  <r>
    <x v="10"/>
    <n v="8"/>
    <n v="2024"/>
    <n v="3"/>
    <s v="Operations"/>
    <x v="0"/>
    <x v="0"/>
    <s v="Operations Expense - East"/>
    <n v="-23917.82"/>
    <m/>
  </r>
  <r>
    <x v="10"/>
    <n v="8"/>
    <n v="2024"/>
    <n v="3"/>
    <s v="G&amp;A"/>
    <x v="1"/>
    <x v="0"/>
    <s v="G&amp;A Revenue - East"/>
    <n v="6261.18"/>
    <n v="6354.18"/>
  </r>
  <r>
    <x v="11"/>
    <n v="8"/>
    <n v="2024"/>
    <n v="3"/>
    <s v="Marketing"/>
    <x v="0"/>
    <x v="1"/>
    <s v="Marketing Expense - West"/>
    <n v="-7763.49"/>
    <m/>
  </r>
  <r>
    <x v="11"/>
    <n v="8"/>
    <n v="2024"/>
    <n v="3"/>
    <s v="Services"/>
    <x v="1"/>
    <x v="2"/>
    <s v="Services Revenue - North"/>
    <n v="18368.05"/>
    <n v="19699.509999999998"/>
  </r>
  <r>
    <x v="11"/>
    <n v="8"/>
    <n v="2024"/>
    <n v="3"/>
    <s v="HR"/>
    <x v="1"/>
    <x v="2"/>
    <s v="HR Revenue - North"/>
    <n v="3491.41"/>
    <n v="3430.2"/>
  </r>
  <r>
    <x v="11"/>
    <n v="8"/>
    <n v="2024"/>
    <n v="3"/>
    <s v="R&amp;D"/>
    <x v="0"/>
    <x v="2"/>
    <s v="R&amp;D Expense - North"/>
    <n v="-16706.82"/>
    <m/>
  </r>
  <r>
    <x v="11"/>
    <n v="8"/>
    <n v="2024"/>
    <n v="3"/>
    <s v="Operations"/>
    <x v="1"/>
    <x v="3"/>
    <s v="Operations Revenue - South"/>
    <n v="10982.68"/>
    <n v="10853.23"/>
  </r>
  <r>
    <x v="12"/>
    <n v="8"/>
    <n v="2024"/>
    <n v="3"/>
    <s v="HR"/>
    <x v="1"/>
    <x v="0"/>
    <s v="HR Revenue - East"/>
    <n v="4296.88"/>
    <n v="4113.18"/>
  </r>
  <r>
    <x v="12"/>
    <n v="8"/>
    <n v="2024"/>
    <n v="3"/>
    <s v="HR"/>
    <x v="0"/>
    <x v="0"/>
    <s v="HR Expense - East"/>
    <n v="-2573.14"/>
    <m/>
  </r>
  <r>
    <x v="12"/>
    <n v="8"/>
    <n v="2024"/>
    <n v="3"/>
    <s v="HR"/>
    <x v="1"/>
    <x v="1"/>
    <s v="HR Revenue - West"/>
    <n v="4473.8500000000004"/>
    <n v="4345.3"/>
  </r>
  <r>
    <x v="12"/>
    <n v="8"/>
    <n v="2024"/>
    <n v="3"/>
    <s v="Marketing"/>
    <x v="1"/>
    <x v="3"/>
    <s v="Marketing Revenue - South"/>
    <n v="5791.42"/>
    <n v="6320.5"/>
  </r>
  <r>
    <x v="13"/>
    <n v="8"/>
    <n v="2024"/>
    <n v="3"/>
    <s v="Subscriptions"/>
    <x v="0"/>
    <x v="1"/>
    <s v="Subscriptions Expense - West"/>
    <n v="-14493.21"/>
    <m/>
  </r>
  <r>
    <x v="13"/>
    <n v="8"/>
    <n v="2024"/>
    <n v="3"/>
    <s v="G&amp;A"/>
    <x v="1"/>
    <x v="1"/>
    <s v="G&amp;A Revenue - West"/>
    <n v="6832.59"/>
    <n v="6937.95"/>
  </r>
  <r>
    <x v="14"/>
    <n v="8"/>
    <n v="2024"/>
    <n v="3"/>
    <s v="Operations"/>
    <x v="1"/>
    <x v="1"/>
    <s v="Operations Revenue - West"/>
    <n v="14707.73"/>
    <n v="15188.32"/>
  </r>
  <r>
    <x v="14"/>
    <n v="8"/>
    <n v="2024"/>
    <n v="3"/>
    <s v="Marketing"/>
    <x v="0"/>
    <x v="2"/>
    <s v="Marketing Expense - North"/>
    <n v="-10217.52"/>
    <m/>
  </r>
  <r>
    <x v="14"/>
    <n v="8"/>
    <n v="2024"/>
    <n v="3"/>
    <s v="R&amp;D"/>
    <x v="1"/>
    <x v="3"/>
    <s v="R&amp;D Revenue - South"/>
    <n v="9681.4"/>
    <n v="9560.65"/>
  </r>
  <r>
    <x v="15"/>
    <n v="8"/>
    <n v="2024"/>
    <n v="3"/>
    <s v="Services"/>
    <x v="1"/>
    <x v="1"/>
    <s v="Services Revenue - West"/>
    <n v="20604.150000000001"/>
    <n v="21160.42"/>
  </r>
  <r>
    <x v="15"/>
    <n v="8"/>
    <n v="2024"/>
    <n v="3"/>
    <s v="Operations"/>
    <x v="0"/>
    <x v="3"/>
    <s v="Operations Expense - South"/>
    <n v="-12899.69"/>
    <m/>
  </r>
  <r>
    <x v="16"/>
    <n v="8"/>
    <n v="2024"/>
    <n v="3"/>
    <s v="G&amp;A"/>
    <x v="1"/>
    <x v="3"/>
    <s v="G&amp;A Revenue - South"/>
    <n v="6056.39"/>
    <n v="6467.51"/>
  </r>
  <r>
    <x v="17"/>
    <n v="8"/>
    <n v="2024"/>
    <n v="3"/>
    <s v="R&amp;D"/>
    <x v="1"/>
    <x v="0"/>
    <s v="R&amp;D Revenue - East"/>
    <n v="12032.18"/>
    <n v="11862.07"/>
  </r>
  <r>
    <x v="17"/>
    <n v="8"/>
    <n v="2024"/>
    <n v="3"/>
    <s v="Sales"/>
    <x v="1"/>
    <x v="1"/>
    <s v="Sales Revenue - West"/>
    <n v="32963.94"/>
    <n v="33454.69"/>
  </r>
  <r>
    <x v="18"/>
    <n v="8"/>
    <n v="2024"/>
    <n v="3"/>
    <s v="Operations"/>
    <x v="1"/>
    <x v="0"/>
    <s v="Operations Revenue - East"/>
    <n v="18181.2"/>
    <n v="19599.32"/>
  </r>
  <r>
    <x v="18"/>
    <n v="8"/>
    <n v="2024"/>
    <n v="3"/>
    <s v="Sales"/>
    <x v="0"/>
    <x v="2"/>
    <s v="Sales Expense - North"/>
    <n v="-13900.11"/>
    <m/>
  </r>
  <r>
    <x v="18"/>
    <n v="8"/>
    <n v="2024"/>
    <n v="3"/>
    <s v="Marketing"/>
    <x v="1"/>
    <x v="2"/>
    <s v="Marketing Revenue - North"/>
    <n v="8661.6200000000008"/>
    <n v="9316.01"/>
  </r>
  <r>
    <x v="18"/>
    <n v="8"/>
    <n v="2024"/>
    <n v="3"/>
    <s v="Subscriptions"/>
    <x v="0"/>
    <x v="3"/>
    <s v="Subscriptions Expense - South"/>
    <n v="-18489.32"/>
    <m/>
  </r>
  <r>
    <x v="19"/>
    <n v="8"/>
    <n v="2024"/>
    <n v="3"/>
    <s v="Subscriptions"/>
    <x v="1"/>
    <x v="0"/>
    <s v="Subscriptions Revenue - East"/>
    <n v="20381.599999999999"/>
    <n v="19795.650000000001"/>
  </r>
  <r>
    <x v="19"/>
    <n v="8"/>
    <n v="2024"/>
    <n v="3"/>
    <s v="R&amp;D"/>
    <x v="1"/>
    <x v="1"/>
    <s v="R&amp;D Revenue - West"/>
    <n v="12869.68"/>
    <n v="12426.36"/>
  </r>
  <r>
    <x v="19"/>
    <n v="8"/>
    <n v="2024"/>
    <n v="3"/>
    <s v="Subscriptions"/>
    <x v="1"/>
    <x v="3"/>
    <s v="Subscriptions Revenue - South"/>
    <n v="18786.79"/>
    <n v="19393.740000000002"/>
  </r>
  <r>
    <x v="20"/>
    <n v="8"/>
    <n v="2024"/>
    <n v="3"/>
    <s v="Sales"/>
    <x v="0"/>
    <x v="3"/>
    <s v="Sales Expense - South"/>
    <n v="-18195.41"/>
    <m/>
  </r>
  <r>
    <x v="21"/>
    <n v="8"/>
    <n v="2024"/>
    <n v="3"/>
    <s v="Services"/>
    <x v="1"/>
    <x v="0"/>
    <s v="Services Revenue - East"/>
    <n v="22710.92"/>
    <n v="21799.46"/>
  </r>
  <r>
    <x v="21"/>
    <n v="8"/>
    <n v="2024"/>
    <n v="3"/>
    <s v="Marketing"/>
    <x v="1"/>
    <x v="1"/>
    <s v="Marketing Revenue - West"/>
    <n v="6385.55"/>
    <n v="6674.57"/>
  </r>
  <r>
    <x v="21"/>
    <n v="8"/>
    <n v="2024"/>
    <n v="3"/>
    <s v="Sales"/>
    <x v="1"/>
    <x v="2"/>
    <s v="Sales Revenue - North"/>
    <n v="21585.45"/>
    <n v="21091.27"/>
  </r>
  <r>
    <x v="21"/>
    <n v="8"/>
    <n v="2024"/>
    <n v="3"/>
    <s v="Operations"/>
    <x v="0"/>
    <x v="2"/>
    <s v="Operations Expense - North"/>
    <n v="-8838.74"/>
    <m/>
  </r>
  <r>
    <x v="21"/>
    <n v="8"/>
    <n v="2024"/>
    <n v="3"/>
    <s v="Services"/>
    <x v="1"/>
    <x v="3"/>
    <s v="Services Revenue - South"/>
    <n v="21132.87"/>
    <n v="21807.8"/>
  </r>
  <r>
    <x v="21"/>
    <n v="8"/>
    <n v="2024"/>
    <n v="3"/>
    <s v="Marketing"/>
    <x v="0"/>
    <x v="3"/>
    <s v="Marketing Expense - South"/>
    <n v="-2441.08"/>
    <m/>
  </r>
  <r>
    <x v="22"/>
    <n v="8"/>
    <n v="2024"/>
    <n v="3"/>
    <s v="Sales"/>
    <x v="1"/>
    <x v="3"/>
    <s v="Sales Revenue - South"/>
    <n v="22975.17"/>
    <n v="22494.240000000002"/>
  </r>
  <r>
    <x v="23"/>
    <n v="8"/>
    <n v="2024"/>
    <n v="3"/>
    <s v="HR"/>
    <x v="0"/>
    <x v="2"/>
    <s v="HR Expense - North"/>
    <n v="-5360.49"/>
    <m/>
  </r>
  <r>
    <x v="23"/>
    <n v="8"/>
    <n v="2024"/>
    <n v="3"/>
    <s v="R&amp;D"/>
    <x v="1"/>
    <x v="2"/>
    <s v="R&amp;D Revenue - North"/>
    <n v="9415.0400000000009"/>
    <n v="9544.4699999999993"/>
  </r>
  <r>
    <x v="23"/>
    <n v="8"/>
    <n v="2024"/>
    <n v="3"/>
    <s v="G&amp;A"/>
    <x v="1"/>
    <x v="2"/>
    <s v="G&amp;A Revenue - North"/>
    <n v="4587.8"/>
    <n v="4899.1000000000004"/>
  </r>
  <r>
    <x v="24"/>
    <n v="9"/>
    <n v="2024"/>
    <n v="3"/>
    <s v="Marketing"/>
    <x v="0"/>
    <x v="0"/>
    <s v="Marketing Expense - East"/>
    <n v="-7790.46"/>
    <m/>
  </r>
  <r>
    <x v="24"/>
    <n v="9"/>
    <n v="2024"/>
    <n v="3"/>
    <s v="Operations"/>
    <x v="0"/>
    <x v="0"/>
    <s v="Operations Expense - East"/>
    <n v="-16416.400000000001"/>
    <m/>
  </r>
  <r>
    <x v="24"/>
    <n v="9"/>
    <n v="2024"/>
    <n v="3"/>
    <s v="Operations"/>
    <x v="0"/>
    <x v="2"/>
    <s v="Operations Expense - North"/>
    <n v="-10802.43"/>
    <m/>
  </r>
  <r>
    <x v="24"/>
    <n v="9"/>
    <n v="2024"/>
    <n v="3"/>
    <s v="R&amp;D"/>
    <x v="1"/>
    <x v="3"/>
    <s v="R&amp;D Revenue - South"/>
    <n v="11227.92"/>
    <n v="11229.78"/>
  </r>
  <r>
    <x v="25"/>
    <n v="9"/>
    <n v="2024"/>
    <n v="3"/>
    <s v="Sales"/>
    <x v="1"/>
    <x v="0"/>
    <s v="Sales Revenue - East"/>
    <n v="36300.67"/>
    <n v="35609.129999999997"/>
  </r>
  <r>
    <x v="26"/>
    <n v="9"/>
    <n v="2024"/>
    <n v="3"/>
    <s v="Subscriptions"/>
    <x v="0"/>
    <x v="1"/>
    <s v="Subscriptions Expense - West"/>
    <n v="-16626.93"/>
    <m/>
  </r>
  <r>
    <x v="26"/>
    <n v="9"/>
    <n v="2024"/>
    <n v="3"/>
    <s v="Services"/>
    <x v="0"/>
    <x v="2"/>
    <s v="Services Expense - North"/>
    <n v="-9194.84"/>
    <m/>
  </r>
  <r>
    <x v="26"/>
    <n v="9"/>
    <n v="2024"/>
    <n v="3"/>
    <s v="G&amp;A"/>
    <x v="1"/>
    <x v="2"/>
    <s v="G&amp;A Revenue - North"/>
    <n v="5908.04"/>
    <n v="5842.15"/>
  </r>
  <r>
    <x v="27"/>
    <n v="9"/>
    <n v="2024"/>
    <n v="3"/>
    <s v="Marketing"/>
    <x v="1"/>
    <x v="3"/>
    <s v="Marketing Revenue - South"/>
    <n v="6553.35"/>
    <n v="6725.21"/>
  </r>
  <r>
    <x v="28"/>
    <n v="9"/>
    <n v="2024"/>
    <n v="3"/>
    <s v="HR"/>
    <x v="1"/>
    <x v="1"/>
    <s v="HR Revenue - West"/>
    <n v="5789.75"/>
    <n v="6325.43"/>
  </r>
  <r>
    <x v="29"/>
    <n v="9"/>
    <n v="2024"/>
    <n v="3"/>
    <s v="Services"/>
    <x v="0"/>
    <x v="1"/>
    <s v="Services Expense - West"/>
    <n v="-13692.27"/>
    <m/>
  </r>
  <r>
    <x v="29"/>
    <n v="9"/>
    <n v="2024"/>
    <n v="3"/>
    <s v="G&amp;A"/>
    <x v="1"/>
    <x v="3"/>
    <s v="G&amp;A Revenue - South"/>
    <n v="5378.92"/>
    <n v="5722.12"/>
  </r>
  <r>
    <x v="29"/>
    <n v="9"/>
    <n v="2024"/>
    <n v="3"/>
    <s v="G&amp;A"/>
    <x v="0"/>
    <x v="3"/>
    <s v="G&amp;A Expense - South"/>
    <n v="-6439.01"/>
    <m/>
  </r>
  <r>
    <x v="30"/>
    <n v="9"/>
    <n v="2024"/>
    <n v="3"/>
    <s v="Subscriptions"/>
    <x v="0"/>
    <x v="0"/>
    <s v="Subscriptions Expense - East"/>
    <n v="-44950.78"/>
    <m/>
  </r>
  <r>
    <x v="30"/>
    <n v="9"/>
    <n v="2024"/>
    <n v="3"/>
    <s v="R&amp;D"/>
    <x v="0"/>
    <x v="0"/>
    <s v="R&amp;D Expense - East"/>
    <n v="-11767.85"/>
    <m/>
  </r>
  <r>
    <x v="30"/>
    <n v="9"/>
    <n v="2024"/>
    <n v="3"/>
    <s v="Services"/>
    <x v="1"/>
    <x v="1"/>
    <s v="Services Revenue - West"/>
    <n v="21249.33"/>
    <n v="21778.32"/>
  </r>
  <r>
    <x v="30"/>
    <n v="9"/>
    <n v="2024"/>
    <n v="3"/>
    <s v="Subscriptions"/>
    <x v="0"/>
    <x v="2"/>
    <s v="Subscriptions Expense - North"/>
    <n v="-12606.78"/>
    <m/>
  </r>
  <r>
    <x v="31"/>
    <n v="9"/>
    <n v="2024"/>
    <n v="3"/>
    <s v="Operations"/>
    <x v="1"/>
    <x v="1"/>
    <s v="Operations Revenue - West"/>
    <n v="15627.17"/>
    <n v="15952.62"/>
  </r>
  <r>
    <x v="31"/>
    <n v="9"/>
    <n v="2024"/>
    <n v="3"/>
    <s v="Marketing"/>
    <x v="1"/>
    <x v="2"/>
    <s v="Marketing Revenue - North"/>
    <n v="9114.6200000000008"/>
    <n v="9456.4699999999993"/>
  </r>
  <r>
    <x v="31"/>
    <n v="9"/>
    <n v="2024"/>
    <n v="3"/>
    <s v="Services"/>
    <x v="1"/>
    <x v="3"/>
    <s v="Services Revenue - South"/>
    <n v="20248.900000000001"/>
    <n v="21281.52"/>
  </r>
  <r>
    <x v="32"/>
    <n v="9"/>
    <n v="2024"/>
    <n v="3"/>
    <s v="Operations"/>
    <x v="0"/>
    <x v="1"/>
    <s v="Operations Expense - West"/>
    <n v="-8143.26"/>
    <m/>
  </r>
  <r>
    <x v="32"/>
    <n v="9"/>
    <n v="2024"/>
    <n v="3"/>
    <s v="R&amp;D"/>
    <x v="0"/>
    <x v="2"/>
    <s v="R&amp;D Expense - North"/>
    <n v="-6284.25"/>
    <m/>
  </r>
  <r>
    <x v="33"/>
    <n v="9"/>
    <n v="2024"/>
    <n v="3"/>
    <s v="Services"/>
    <x v="1"/>
    <x v="0"/>
    <s v="Services Revenue - East"/>
    <n v="27068.61"/>
    <n v="28892.94"/>
  </r>
  <r>
    <x v="33"/>
    <n v="9"/>
    <n v="2024"/>
    <n v="3"/>
    <s v="HR"/>
    <x v="0"/>
    <x v="2"/>
    <s v="HR Expense - North"/>
    <n v="-5964.21"/>
    <m/>
  </r>
  <r>
    <x v="34"/>
    <n v="9"/>
    <n v="2024"/>
    <n v="3"/>
    <s v="Services"/>
    <x v="0"/>
    <x v="3"/>
    <s v="Services Expense - South"/>
    <n v="-7690.52"/>
    <m/>
  </r>
  <r>
    <x v="35"/>
    <n v="9"/>
    <n v="2024"/>
    <n v="3"/>
    <s v="G&amp;A"/>
    <x v="0"/>
    <x v="1"/>
    <s v="G&amp;A Expense - West"/>
    <n v="-4554.9399999999996"/>
    <m/>
  </r>
  <r>
    <x v="35"/>
    <n v="9"/>
    <n v="2024"/>
    <n v="3"/>
    <s v="Sales"/>
    <x v="0"/>
    <x v="2"/>
    <s v="Sales Expense - North"/>
    <n v="-39082.79"/>
    <m/>
  </r>
  <r>
    <x v="36"/>
    <n v="9"/>
    <n v="2024"/>
    <n v="3"/>
    <s v="Sales"/>
    <x v="1"/>
    <x v="3"/>
    <s v="Sales Revenue - South"/>
    <n v="24627.39"/>
    <n v="23394.98"/>
  </r>
  <r>
    <x v="37"/>
    <n v="9"/>
    <n v="2024"/>
    <n v="3"/>
    <s v="Sales"/>
    <x v="1"/>
    <x v="2"/>
    <s v="Sales Revenue - North"/>
    <n v="31465.83"/>
    <n v="30462.78"/>
  </r>
  <r>
    <x v="37"/>
    <n v="9"/>
    <n v="2024"/>
    <n v="3"/>
    <s v="HR"/>
    <x v="1"/>
    <x v="2"/>
    <s v="HR Revenue - North"/>
    <n v="4185.32"/>
    <n v="4040.83"/>
  </r>
  <r>
    <x v="37"/>
    <n v="9"/>
    <n v="2024"/>
    <n v="3"/>
    <s v="R&amp;D"/>
    <x v="0"/>
    <x v="3"/>
    <s v="R&amp;D Expense - South"/>
    <n v="-8662.2000000000007"/>
    <m/>
  </r>
  <r>
    <x v="38"/>
    <n v="9"/>
    <n v="2024"/>
    <n v="3"/>
    <s v="R&amp;D"/>
    <x v="0"/>
    <x v="1"/>
    <s v="R&amp;D Expense - West"/>
    <n v="-9723.01"/>
    <m/>
  </r>
  <r>
    <x v="39"/>
    <n v="9"/>
    <n v="2024"/>
    <n v="3"/>
    <s v="G&amp;A"/>
    <x v="0"/>
    <x v="0"/>
    <s v="G&amp;A Expense - East"/>
    <n v="-2984.29"/>
    <m/>
  </r>
  <r>
    <x v="39"/>
    <n v="9"/>
    <n v="2024"/>
    <n v="3"/>
    <s v="Sales"/>
    <x v="0"/>
    <x v="1"/>
    <s v="Sales Expense - West"/>
    <n v="-47616.34"/>
    <m/>
  </r>
  <r>
    <x v="39"/>
    <n v="9"/>
    <n v="2024"/>
    <n v="3"/>
    <s v="Marketing"/>
    <x v="0"/>
    <x v="2"/>
    <s v="Marketing Expense - North"/>
    <n v="-4338.05"/>
    <m/>
  </r>
  <r>
    <x v="39"/>
    <n v="9"/>
    <n v="2024"/>
    <n v="3"/>
    <s v="Operations"/>
    <x v="1"/>
    <x v="2"/>
    <s v="Operations Revenue - North"/>
    <n v="18672.169999999998"/>
    <n v="20493.349999999999"/>
  </r>
  <r>
    <x v="39"/>
    <n v="9"/>
    <n v="2024"/>
    <n v="3"/>
    <s v="HR"/>
    <x v="0"/>
    <x v="3"/>
    <s v="HR Expense - South"/>
    <n v="-5539.95"/>
    <m/>
  </r>
  <r>
    <x v="40"/>
    <n v="9"/>
    <n v="2024"/>
    <n v="3"/>
    <s v="G&amp;A"/>
    <x v="1"/>
    <x v="0"/>
    <s v="G&amp;A Revenue - East"/>
    <n v="7129.76"/>
    <n v="6679.88"/>
  </r>
  <r>
    <x v="40"/>
    <n v="9"/>
    <n v="2024"/>
    <n v="3"/>
    <s v="R&amp;D"/>
    <x v="1"/>
    <x v="1"/>
    <s v="R&amp;D Revenue - West"/>
    <n v="12102.73"/>
    <n v="12212.6"/>
  </r>
  <r>
    <x v="41"/>
    <n v="9"/>
    <n v="2024"/>
    <n v="3"/>
    <s v="Subscriptions"/>
    <x v="1"/>
    <x v="3"/>
    <s v="Subscriptions Revenue - South"/>
    <n v="21036.240000000002"/>
    <n v="20396.919999999998"/>
  </r>
  <r>
    <x v="42"/>
    <n v="9"/>
    <n v="2024"/>
    <n v="3"/>
    <s v="Operations"/>
    <x v="1"/>
    <x v="0"/>
    <s v="Operations Revenue - East"/>
    <n v="14580.78"/>
    <n v="14737.19"/>
  </r>
  <r>
    <x v="42"/>
    <n v="9"/>
    <n v="2024"/>
    <n v="3"/>
    <s v="Marketing"/>
    <x v="1"/>
    <x v="1"/>
    <s v="Marketing Revenue - West"/>
    <n v="8660.35"/>
    <n v="9167.2999999999993"/>
  </r>
  <r>
    <x v="42"/>
    <n v="9"/>
    <n v="2024"/>
    <n v="3"/>
    <s v="R&amp;D"/>
    <x v="1"/>
    <x v="2"/>
    <s v="R&amp;D Revenue - North"/>
    <n v="9472.06"/>
    <n v="9013.14"/>
  </r>
  <r>
    <x v="43"/>
    <n v="9"/>
    <n v="2024"/>
    <n v="3"/>
    <s v="HR"/>
    <x v="0"/>
    <x v="1"/>
    <s v="HR Expense - West"/>
    <n v="-3246.3"/>
    <m/>
  </r>
  <r>
    <x v="43"/>
    <n v="9"/>
    <n v="2024"/>
    <n v="3"/>
    <s v="Subscriptions"/>
    <x v="1"/>
    <x v="2"/>
    <s v="Subscriptions Revenue - North"/>
    <n v="20644.810000000001"/>
    <n v="22477.7"/>
  </r>
  <r>
    <x v="43"/>
    <n v="9"/>
    <n v="2024"/>
    <n v="3"/>
    <s v="Subscriptions"/>
    <x v="0"/>
    <x v="3"/>
    <s v="Subscriptions Expense - South"/>
    <n v="-9273.82"/>
    <m/>
  </r>
  <r>
    <x v="44"/>
    <n v="9"/>
    <n v="2024"/>
    <n v="3"/>
    <s v="Subscriptions"/>
    <x v="1"/>
    <x v="0"/>
    <s v="Subscriptions Revenue - East"/>
    <n v="29905.64"/>
    <n v="28518.57"/>
  </r>
  <r>
    <x v="44"/>
    <n v="9"/>
    <n v="2024"/>
    <n v="3"/>
    <s v="Marketing"/>
    <x v="1"/>
    <x v="0"/>
    <s v="Marketing Revenue - East"/>
    <n v="10045.07"/>
    <n v="10565.48"/>
  </r>
  <r>
    <x v="44"/>
    <n v="9"/>
    <n v="2024"/>
    <n v="3"/>
    <s v="Marketing"/>
    <x v="0"/>
    <x v="3"/>
    <s v="Marketing Expense - South"/>
    <n v="-8935.83"/>
    <m/>
  </r>
  <r>
    <x v="45"/>
    <n v="9"/>
    <n v="2024"/>
    <n v="3"/>
    <s v="Marketing"/>
    <x v="0"/>
    <x v="1"/>
    <s v="Marketing Expense - West"/>
    <n v="-3483.65"/>
    <m/>
  </r>
  <r>
    <x v="45"/>
    <n v="9"/>
    <n v="2024"/>
    <n v="3"/>
    <s v="G&amp;A"/>
    <x v="1"/>
    <x v="1"/>
    <s v="G&amp;A Revenue - West"/>
    <n v="7146.52"/>
    <n v="6823.9"/>
  </r>
  <r>
    <x v="45"/>
    <n v="9"/>
    <n v="2024"/>
    <n v="3"/>
    <s v="Services"/>
    <x v="1"/>
    <x v="2"/>
    <s v="Services Revenue - North"/>
    <n v="21539.46"/>
    <n v="22789.599999999999"/>
  </r>
  <r>
    <x v="46"/>
    <n v="9"/>
    <n v="2024"/>
    <n v="3"/>
    <s v="HR"/>
    <x v="0"/>
    <x v="0"/>
    <s v="HR Expense - East"/>
    <n v="-3908.6"/>
    <m/>
  </r>
  <r>
    <x v="46"/>
    <n v="9"/>
    <n v="2024"/>
    <n v="3"/>
    <s v="Operations"/>
    <x v="0"/>
    <x v="3"/>
    <s v="Operations Expense - South"/>
    <n v="-10795.57"/>
    <m/>
  </r>
  <r>
    <x v="47"/>
    <n v="9"/>
    <n v="2024"/>
    <n v="3"/>
    <s v="Services"/>
    <x v="0"/>
    <x v="0"/>
    <s v="Services Expense - East"/>
    <n v="-38858.81"/>
    <m/>
  </r>
  <r>
    <x v="47"/>
    <n v="9"/>
    <n v="2024"/>
    <n v="3"/>
    <s v="HR"/>
    <x v="1"/>
    <x v="0"/>
    <s v="HR Revenue - East"/>
    <n v="5995.12"/>
    <n v="6212.02"/>
  </r>
  <r>
    <x v="47"/>
    <n v="9"/>
    <n v="2024"/>
    <n v="3"/>
    <s v="Subscriptions"/>
    <x v="1"/>
    <x v="1"/>
    <s v="Subscriptions Revenue - West"/>
    <n v="28596.41"/>
    <n v="28141.919999999998"/>
  </r>
  <r>
    <x v="47"/>
    <n v="9"/>
    <n v="2024"/>
    <n v="3"/>
    <s v="HR"/>
    <x v="1"/>
    <x v="3"/>
    <s v="HR Revenue - South"/>
    <n v="3870.38"/>
    <n v="3997.69"/>
  </r>
  <r>
    <x v="48"/>
    <n v="9"/>
    <n v="2024"/>
    <n v="3"/>
    <s v="Operations"/>
    <x v="1"/>
    <x v="3"/>
    <s v="Operations Revenue - South"/>
    <n v="15755.21"/>
    <n v="15799.19"/>
  </r>
  <r>
    <x v="49"/>
    <n v="9"/>
    <n v="2024"/>
    <n v="3"/>
    <s v="Sales"/>
    <x v="0"/>
    <x v="0"/>
    <s v="Sales Expense - East"/>
    <n v="-28236.3"/>
    <m/>
  </r>
  <r>
    <x v="49"/>
    <n v="9"/>
    <n v="2024"/>
    <n v="3"/>
    <s v="R&amp;D"/>
    <x v="1"/>
    <x v="0"/>
    <s v="R&amp;D Revenue - East"/>
    <n v="10778.69"/>
    <n v="10913.01"/>
  </r>
  <r>
    <x v="49"/>
    <n v="9"/>
    <n v="2024"/>
    <n v="3"/>
    <s v="G&amp;A"/>
    <x v="0"/>
    <x v="2"/>
    <s v="G&amp;A Expense - North"/>
    <n v="-8638.94"/>
    <m/>
  </r>
  <r>
    <x v="50"/>
    <n v="9"/>
    <n v="2024"/>
    <n v="3"/>
    <s v="Sales"/>
    <x v="1"/>
    <x v="1"/>
    <s v="Sales Revenue - West"/>
    <n v="33368.769999999997"/>
    <n v="32937.57"/>
  </r>
  <r>
    <x v="50"/>
    <n v="9"/>
    <n v="2024"/>
    <n v="3"/>
    <s v="Sales"/>
    <x v="0"/>
    <x v="3"/>
    <s v="Sales Expense - South"/>
    <n v="-19195.41"/>
    <m/>
  </r>
  <r>
    <x v="51"/>
    <n v="10"/>
    <n v="2024"/>
    <n v="4"/>
    <s v="Operations"/>
    <x v="1"/>
    <x v="1"/>
    <s v="Operations Revenue - West"/>
    <n v="15139.73"/>
    <n v="14088.81"/>
  </r>
  <r>
    <x v="52"/>
    <n v="10"/>
    <n v="2024"/>
    <n v="4"/>
    <s v="Marketing"/>
    <x v="0"/>
    <x v="3"/>
    <s v="Marketing Expense - South"/>
    <n v="-7844.79"/>
    <m/>
  </r>
  <r>
    <x v="53"/>
    <n v="10"/>
    <n v="2024"/>
    <n v="4"/>
    <s v="Services"/>
    <x v="1"/>
    <x v="0"/>
    <s v="Services Revenue - East"/>
    <n v="24966.91"/>
    <n v="23899.94"/>
  </r>
  <r>
    <x v="53"/>
    <n v="10"/>
    <n v="2024"/>
    <n v="4"/>
    <s v="Subscriptions"/>
    <x v="0"/>
    <x v="2"/>
    <s v="Subscriptions Expense - North"/>
    <n v="-15671.14"/>
    <m/>
  </r>
  <r>
    <x v="54"/>
    <n v="10"/>
    <n v="2024"/>
    <n v="4"/>
    <s v="Subscriptions"/>
    <x v="0"/>
    <x v="1"/>
    <s v="Subscriptions Expense - West"/>
    <n v="-15008.79"/>
    <m/>
  </r>
  <r>
    <x v="54"/>
    <n v="10"/>
    <n v="2024"/>
    <n v="4"/>
    <s v="Operations"/>
    <x v="0"/>
    <x v="1"/>
    <s v="Operations Expense - West"/>
    <n v="-17172.439999999999"/>
    <m/>
  </r>
  <r>
    <x v="54"/>
    <n v="10"/>
    <n v="2024"/>
    <n v="4"/>
    <s v="R&amp;D"/>
    <x v="0"/>
    <x v="2"/>
    <s v="R&amp;D Expense - North"/>
    <n v="-9326.77"/>
    <m/>
  </r>
  <r>
    <x v="55"/>
    <n v="10"/>
    <n v="2024"/>
    <n v="4"/>
    <s v="R&amp;D"/>
    <x v="1"/>
    <x v="1"/>
    <s v="R&amp;D Revenue - West"/>
    <n v="12515.02"/>
    <n v="12618.68"/>
  </r>
  <r>
    <x v="55"/>
    <n v="10"/>
    <n v="2024"/>
    <n v="4"/>
    <s v="G&amp;A"/>
    <x v="1"/>
    <x v="2"/>
    <s v="G&amp;A Revenue - North"/>
    <n v="7267.35"/>
    <n v="7207.48"/>
  </r>
  <r>
    <x v="56"/>
    <n v="10"/>
    <n v="2024"/>
    <n v="4"/>
    <s v="Services"/>
    <x v="1"/>
    <x v="1"/>
    <s v="Services Revenue - West"/>
    <n v="19800.169999999998"/>
    <n v="19554.689999999999"/>
  </r>
  <r>
    <x v="56"/>
    <n v="10"/>
    <n v="2024"/>
    <n v="4"/>
    <s v="G&amp;A"/>
    <x v="0"/>
    <x v="2"/>
    <s v="G&amp;A Expense - North"/>
    <n v="-9800.2999999999993"/>
    <m/>
  </r>
  <r>
    <x v="56"/>
    <n v="10"/>
    <n v="2024"/>
    <n v="4"/>
    <s v="Sales"/>
    <x v="1"/>
    <x v="3"/>
    <s v="Sales Revenue - South"/>
    <n v="25768.77"/>
    <n v="26887.54"/>
  </r>
  <r>
    <x v="57"/>
    <n v="10"/>
    <n v="2024"/>
    <n v="4"/>
    <s v="Operations"/>
    <x v="0"/>
    <x v="0"/>
    <s v="Operations Expense - East"/>
    <n v="-17214.45"/>
    <m/>
  </r>
  <r>
    <x v="57"/>
    <n v="10"/>
    <n v="2024"/>
    <n v="4"/>
    <s v="R&amp;D"/>
    <x v="1"/>
    <x v="3"/>
    <s v="R&amp;D Revenue - South"/>
    <n v="12803.99"/>
    <n v="12082.71"/>
  </r>
  <r>
    <x v="58"/>
    <n v="10"/>
    <n v="2024"/>
    <n v="4"/>
    <s v="Operations"/>
    <x v="1"/>
    <x v="0"/>
    <s v="Operations Revenue - East"/>
    <n v="21553.91"/>
    <n v="20867.18"/>
  </r>
  <r>
    <x v="58"/>
    <n v="10"/>
    <n v="2024"/>
    <n v="4"/>
    <s v="Sales"/>
    <x v="1"/>
    <x v="1"/>
    <s v="Sales Revenue - West"/>
    <n v="25641.96"/>
    <n v="26860.43"/>
  </r>
  <r>
    <x v="58"/>
    <n v="10"/>
    <n v="2024"/>
    <n v="4"/>
    <s v="Subscriptions"/>
    <x v="1"/>
    <x v="1"/>
    <s v="Subscriptions Revenue - West"/>
    <n v="28201.05"/>
    <n v="30215.59"/>
  </r>
  <r>
    <x v="59"/>
    <n v="10"/>
    <n v="2024"/>
    <n v="4"/>
    <s v="Sales"/>
    <x v="0"/>
    <x v="0"/>
    <s v="Sales Expense - East"/>
    <n v="-9964.42"/>
    <m/>
  </r>
  <r>
    <x v="59"/>
    <n v="10"/>
    <n v="2024"/>
    <n v="4"/>
    <s v="Subscriptions"/>
    <x v="0"/>
    <x v="0"/>
    <s v="Subscriptions Expense - East"/>
    <n v="-34163.449999999997"/>
    <m/>
  </r>
  <r>
    <x v="59"/>
    <n v="10"/>
    <n v="2024"/>
    <n v="4"/>
    <s v="Marketing"/>
    <x v="1"/>
    <x v="0"/>
    <s v="Marketing Revenue - East"/>
    <n v="11381.21"/>
    <n v="10926.1"/>
  </r>
  <r>
    <x v="59"/>
    <n v="10"/>
    <n v="2024"/>
    <n v="4"/>
    <s v="Operations"/>
    <x v="0"/>
    <x v="3"/>
    <s v="Operations Expense - South"/>
    <n v="-10250.36"/>
    <m/>
  </r>
  <r>
    <x v="60"/>
    <n v="10"/>
    <n v="2024"/>
    <n v="4"/>
    <s v="Marketing"/>
    <x v="0"/>
    <x v="1"/>
    <s v="Marketing Expense - West"/>
    <n v="-3707.06"/>
    <m/>
  </r>
  <r>
    <x v="60"/>
    <n v="10"/>
    <n v="2024"/>
    <n v="4"/>
    <s v="Subscriptions"/>
    <x v="1"/>
    <x v="2"/>
    <s v="Subscriptions Revenue - North"/>
    <n v="27075.93"/>
    <n v="29047.95"/>
  </r>
  <r>
    <x v="61"/>
    <n v="10"/>
    <n v="2024"/>
    <n v="4"/>
    <s v="Subscriptions"/>
    <x v="1"/>
    <x v="0"/>
    <s v="Subscriptions Revenue - East"/>
    <n v="26760.45"/>
    <n v="29140.53"/>
  </r>
  <r>
    <x v="61"/>
    <n v="10"/>
    <n v="2024"/>
    <n v="4"/>
    <s v="HR"/>
    <x v="1"/>
    <x v="1"/>
    <s v="HR Revenue - West"/>
    <n v="5508.72"/>
    <n v="5410.78"/>
  </r>
  <r>
    <x v="61"/>
    <n v="10"/>
    <n v="2024"/>
    <n v="4"/>
    <s v="Services"/>
    <x v="0"/>
    <x v="3"/>
    <s v="Services Expense - South"/>
    <n v="-27766.71"/>
    <m/>
  </r>
  <r>
    <x v="62"/>
    <n v="10"/>
    <n v="2024"/>
    <n v="4"/>
    <s v="HR"/>
    <x v="0"/>
    <x v="1"/>
    <s v="HR Expense - West"/>
    <n v="-6820.91"/>
    <m/>
  </r>
  <r>
    <x v="62"/>
    <n v="10"/>
    <n v="2024"/>
    <n v="4"/>
    <s v="Marketing"/>
    <x v="0"/>
    <x v="2"/>
    <s v="Marketing Expense - North"/>
    <n v="-4644.1099999999997"/>
    <m/>
  </r>
  <r>
    <x v="63"/>
    <n v="10"/>
    <n v="2024"/>
    <n v="4"/>
    <s v="Marketing"/>
    <x v="0"/>
    <x v="0"/>
    <s v="Marketing Expense - East"/>
    <n v="-6442.09"/>
    <m/>
  </r>
  <r>
    <x v="63"/>
    <n v="10"/>
    <n v="2024"/>
    <n v="4"/>
    <s v="HR"/>
    <x v="0"/>
    <x v="0"/>
    <s v="HR Expense - East"/>
    <n v="-5481.05"/>
    <m/>
  </r>
  <r>
    <x v="63"/>
    <n v="10"/>
    <n v="2024"/>
    <n v="4"/>
    <s v="G&amp;A"/>
    <x v="1"/>
    <x v="1"/>
    <s v="G&amp;A Revenue - West"/>
    <n v="5560.09"/>
    <n v="5480.16"/>
  </r>
  <r>
    <x v="64"/>
    <n v="10"/>
    <n v="2024"/>
    <n v="4"/>
    <s v="Services"/>
    <x v="0"/>
    <x v="1"/>
    <s v="Services Expense - West"/>
    <n v="-26235.97"/>
    <m/>
  </r>
  <r>
    <x v="64"/>
    <n v="10"/>
    <n v="2024"/>
    <n v="4"/>
    <s v="HR"/>
    <x v="0"/>
    <x v="3"/>
    <s v="HR Expense - South"/>
    <n v="-3492.12"/>
    <m/>
  </r>
  <r>
    <x v="65"/>
    <n v="10"/>
    <n v="2024"/>
    <n v="4"/>
    <s v="Sales"/>
    <x v="0"/>
    <x v="1"/>
    <s v="Sales Expense - West"/>
    <n v="-11991.05"/>
    <m/>
  </r>
  <r>
    <x v="66"/>
    <n v="10"/>
    <n v="2024"/>
    <n v="4"/>
    <s v="Services"/>
    <x v="1"/>
    <x v="3"/>
    <s v="Services Revenue - South"/>
    <n v="21041.54"/>
    <n v="20297.63"/>
  </r>
  <r>
    <x v="66"/>
    <n v="10"/>
    <n v="2024"/>
    <n v="4"/>
    <s v="G&amp;A"/>
    <x v="1"/>
    <x v="3"/>
    <s v="G&amp;A Revenue - South"/>
    <n v="6993.53"/>
    <n v="6896.3"/>
  </r>
  <r>
    <x v="67"/>
    <n v="10"/>
    <n v="2024"/>
    <n v="4"/>
    <s v="Operations"/>
    <x v="1"/>
    <x v="2"/>
    <s v="Operations Revenue - North"/>
    <n v="16395.43"/>
    <n v="15870.42"/>
  </r>
  <r>
    <x v="67"/>
    <n v="10"/>
    <n v="2024"/>
    <n v="4"/>
    <s v="HR"/>
    <x v="0"/>
    <x v="2"/>
    <s v="HR Expense - North"/>
    <n v="-3272.64"/>
    <m/>
  </r>
  <r>
    <x v="67"/>
    <n v="10"/>
    <n v="2024"/>
    <n v="4"/>
    <s v="R&amp;D"/>
    <x v="1"/>
    <x v="2"/>
    <s v="R&amp;D Revenue - North"/>
    <n v="12506.04"/>
    <n v="12769.12"/>
  </r>
  <r>
    <x v="67"/>
    <n v="10"/>
    <n v="2024"/>
    <n v="4"/>
    <s v="HR"/>
    <x v="1"/>
    <x v="3"/>
    <s v="HR Revenue - South"/>
    <n v="4396.3100000000004"/>
    <n v="4692.26"/>
  </r>
  <r>
    <x v="68"/>
    <n v="10"/>
    <n v="2024"/>
    <n v="4"/>
    <s v="R&amp;D"/>
    <x v="0"/>
    <x v="3"/>
    <s v="R&amp;D Expense - South"/>
    <n v="-9492.4699999999993"/>
    <m/>
  </r>
  <r>
    <x v="69"/>
    <n v="10"/>
    <n v="2024"/>
    <n v="4"/>
    <s v="G&amp;A"/>
    <x v="1"/>
    <x v="0"/>
    <s v="G&amp;A Revenue - East"/>
    <n v="5686.01"/>
    <n v="5918.25"/>
  </r>
  <r>
    <x v="69"/>
    <n v="10"/>
    <n v="2024"/>
    <n v="4"/>
    <s v="G&amp;A"/>
    <x v="0"/>
    <x v="3"/>
    <s v="G&amp;A Expense - South"/>
    <n v="-8823.7199999999993"/>
    <m/>
  </r>
  <r>
    <x v="70"/>
    <n v="10"/>
    <n v="2024"/>
    <n v="4"/>
    <s v="Marketing"/>
    <x v="1"/>
    <x v="2"/>
    <s v="Marketing Revenue - North"/>
    <n v="10425.450000000001"/>
    <n v="9937.5300000000007"/>
  </r>
  <r>
    <x v="70"/>
    <n v="10"/>
    <n v="2024"/>
    <n v="4"/>
    <s v="Operations"/>
    <x v="0"/>
    <x v="2"/>
    <s v="Operations Expense - North"/>
    <n v="-21563.49"/>
    <m/>
  </r>
  <r>
    <x v="71"/>
    <n v="10"/>
    <n v="2024"/>
    <n v="4"/>
    <s v="R&amp;D"/>
    <x v="0"/>
    <x v="0"/>
    <s v="R&amp;D Expense - East"/>
    <n v="-5057.96"/>
    <m/>
  </r>
  <r>
    <x v="71"/>
    <n v="10"/>
    <n v="2024"/>
    <n v="4"/>
    <s v="Marketing"/>
    <x v="1"/>
    <x v="3"/>
    <s v="Marketing Revenue - South"/>
    <n v="10071.84"/>
    <n v="10670.94"/>
  </r>
  <r>
    <x v="71"/>
    <n v="10"/>
    <n v="2024"/>
    <n v="4"/>
    <s v="Operations"/>
    <x v="1"/>
    <x v="3"/>
    <s v="Operations Revenue - South"/>
    <n v="19015.78"/>
    <n v="19786.7"/>
  </r>
  <r>
    <x v="72"/>
    <n v="10"/>
    <n v="2024"/>
    <n v="4"/>
    <s v="R&amp;D"/>
    <x v="0"/>
    <x v="1"/>
    <s v="R&amp;D Expense - West"/>
    <n v="-13789.9"/>
    <m/>
  </r>
  <r>
    <x v="72"/>
    <n v="10"/>
    <n v="2024"/>
    <n v="4"/>
    <s v="Sales"/>
    <x v="1"/>
    <x v="2"/>
    <s v="Sales Revenue - North"/>
    <n v="29113.74"/>
    <n v="29088.95"/>
  </r>
  <r>
    <x v="72"/>
    <n v="10"/>
    <n v="2024"/>
    <n v="4"/>
    <s v="Sales"/>
    <x v="0"/>
    <x v="2"/>
    <s v="Sales Expense - North"/>
    <n v="-11252.91"/>
    <m/>
  </r>
  <r>
    <x v="72"/>
    <n v="10"/>
    <n v="2024"/>
    <n v="4"/>
    <s v="Sales"/>
    <x v="0"/>
    <x v="3"/>
    <s v="Sales Expense - South"/>
    <n v="-23283.87"/>
    <m/>
  </r>
  <r>
    <x v="73"/>
    <n v="10"/>
    <n v="2024"/>
    <n v="4"/>
    <s v="G&amp;A"/>
    <x v="0"/>
    <x v="0"/>
    <s v="G&amp;A Expense - East"/>
    <n v="-4080.37"/>
    <m/>
  </r>
  <r>
    <x v="73"/>
    <n v="10"/>
    <n v="2024"/>
    <n v="4"/>
    <s v="Subscriptions"/>
    <x v="1"/>
    <x v="3"/>
    <s v="Subscriptions Revenue - South"/>
    <n v="20584.72"/>
    <n v="21323.15"/>
  </r>
  <r>
    <x v="74"/>
    <n v="10"/>
    <n v="2024"/>
    <n v="4"/>
    <s v="Marketing"/>
    <x v="1"/>
    <x v="1"/>
    <s v="Marketing Revenue - West"/>
    <n v="7486.42"/>
    <n v="7167.84"/>
  </r>
  <r>
    <x v="74"/>
    <n v="10"/>
    <n v="2024"/>
    <n v="4"/>
    <s v="G&amp;A"/>
    <x v="0"/>
    <x v="1"/>
    <s v="G&amp;A Expense - West"/>
    <n v="-4372.57"/>
    <m/>
  </r>
  <r>
    <x v="74"/>
    <n v="10"/>
    <n v="2024"/>
    <n v="4"/>
    <s v="Services"/>
    <x v="1"/>
    <x v="2"/>
    <s v="Services Revenue - North"/>
    <n v="21128.29"/>
    <n v="22217.31"/>
  </r>
  <r>
    <x v="75"/>
    <n v="10"/>
    <n v="2024"/>
    <n v="4"/>
    <s v="R&amp;D"/>
    <x v="1"/>
    <x v="0"/>
    <s v="R&amp;D Revenue - East"/>
    <n v="13054.88"/>
    <n v="12626.22"/>
  </r>
  <r>
    <x v="75"/>
    <n v="10"/>
    <n v="2024"/>
    <n v="4"/>
    <s v="Services"/>
    <x v="0"/>
    <x v="2"/>
    <s v="Services Expense - North"/>
    <n v="-14047.78"/>
    <m/>
  </r>
  <r>
    <x v="75"/>
    <n v="10"/>
    <n v="2024"/>
    <n v="4"/>
    <s v="Subscriptions"/>
    <x v="0"/>
    <x v="3"/>
    <s v="Subscriptions Expense - South"/>
    <n v="-29854.42"/>
    <m/>
  </r>
  <r>
    <x v="76"/>
    <n v="10"/>
    <n v="2024"/>
    <n v="4"/>
    <s v="Services"/>
    <x v="0"/>
    <x v="0"/>
    <s v="Services Expense - East"/>
    <n v="-17819.28"/>
    <m/>
  </r>
  <r>
    <x v="76"/>
    <n v="10"/>
    <n v="2024"/>
    <n v="4"/>
    <s v="HR"/>
    <x v="1"/>
    <x v="0"/>
    <s v="HR Revenue - East"/>
    <n v="5014.38"/>
    <n v="4685.34"/>
  </r>
  <r>
    <x v="76"/>
    <n v="10"/>
    <n v="2024"/>
    <n v="4"/>
    <s v="HR"/>
    <x v="1"/>
    <x v="2"/>
    <s v="HR Revenue - North"/>
    <n v="4811.87"/>
    <n v="4776.42"/>
  </r>
  <r>
    <x v="77"/>
    <n v="10"/>
    <n v="2024"/>
    <n v="4"/>
    <s v="Sales"/>
    <x v="1"/>
    <x v="0"/>
    <s v="Sales Revenue - East"/>
    <n v="29779.119999999999"/>
    <n v="30217.62"/>
  </r>
  <r>
    <x v="78"/>
    <n v="11"/>
    <n v="2024"/>
    <n v="4"/>
    <s v="Subscriptions"/>
    <x v="1"/>
    <x v="0"/>
    <s v="Subscriptions Revenue - East"/>
    <n v="36013.14"/>
    <n v="38021.46"/>
  </r>
  <r>
    <x v="78"/>
    <n v="11"/>
    <n v="2024"/>
    <n v="4"/>
    <s v="Marketing"/>
    <x v="1"/>
    <x v="0"/>
    <s v="Marketing Revenue - East"/>
    <n v="13180.9"/>
    <n v="13658.72"/>
  </r>
  <r>
    <x v="78"/>
    <n v="11"/>
    <n v="2024"/>
    <n v="4"/>
    <s v="Operations"/>
    <x v="0"/>
    <x v="0"/>
    <s v="Operations Expense - East"/>
    <n v="-21872.1"/>
    <m/>
  </r>
  <r>
    <x v="79"/>
    <n v="11"/>
    <n v="2024"/>
    <n v="4"/>
    <s v="Marketing"/>
    <x v="0"/>
    <x v="0"/>
    <s v="Marketing Expense - East"/>
    <n v="-17134.53"/>
    <m/>
  </r>
  <r>
    <x v="79"/>
    <n v="11"/>
    <n v="2024"/>
    <n v="4"/>
    <s v="HR"/>
    <x v="1"/>
    <x v="2"/>
    <s v="HR Revenue - North"/>
    <n v="5039.42"/>
    <n v="4988.0200000000004"/>
  </r>
  <r>
    <x v="79"/>
    <n v="11"/>
    <n v="2024"/>
    <n v="4"/>
    <s v="Sales"/>
    <x v="1"/>
    <x v="3"/>
    <s v="Sales Revenue - South"/>
    <n v="32683.99"/>
    <n v="35856.39"/>
  </r>
  <r>
    <x v="80"/>
    <n v="11"/>
    <n v="2024"/>
    <n v="4"/>
    <s v="R&amp;D"/>
    <x v="1"/>
    <x v="0"/>
    <s v="R&amp;D Revenue - East"/>
    <n v="18410.3"/>
    <n v="17343.41"/>
  </r>
  <r>
    <x v="81"/>
    <n v="11"/>
    <n v="2024"/>
    <n v="4"/>
    <s v="Subscriptions"/>
    <x v="1"/>
    <x v="2"/>
    <s v="Subscriptions Revenue - North"/>
    <n v="29694.35"/>
    <n v="30409.66"/>
  </r>
  <r>
    <x v="81"/>
    <n v="11"/>
    <n v="2024"/>
    <n v="4"/>
    <s v="R&amp;D"/>
    <x v="0"/>
    <x v="2"/>
    <s v="R&amp;D Expense - North"/>
    <n v="-9228.5"/>
    <m/>
  </r>
  <r>
    <x v="81"/>
    <n v="11"/>
    <n v="2024"/>
    <n v="4"/>
    <s v="Subscriptions"/>
    <x v="0"/>
    <x v="3"/>
    <s v="Subscriptions Expense - South"/>
    <n v="-12243.93"/>
    <m/>
  </r>
  <r>
    <x v="82"/>
    <n v="11"/>
    <n v="2024"/>
    <n v="4"/>
    <s v="Sales"/>
    <x v="0"/>
    <x v="1"/>
    <s v="Sales Expense - West"/>
    <n v="-23543.279999999999"/>
    <m/>
  </r>
  <r>
    <x v="82"/>
    <n v="11"/>
    <n v="2024"/>
    <n v="4"/>
    <s v="Sales"/>
    <x v="0"/>
    <x v="2"/>
    <s v="Sales Expense - North"/>
    <n v="-12751.11"/>
    <m/>
  </r>
  <r>
    <x v="82"/>
    <n v="11"/>
    <n v="2024"/>
    <n v="4"/>
    <s v="G&amp;A"/>
    <x v="1"/>
    <x v="2"/>
    <s v="G&amp;A Revenue - North"/>
    <n v="6942.76"/>
    <n v="6934.16"/>
  </r>
  <r>
    <x v="83"/>
    <n v="11"/>
    <n v="2024"/>
    <n v="4"/>
    <s v="G&amp;A"/>
    <x v="0"/>
    <x v="3"/>
    <s v="G&amp;A Expense - South"/>
    <n v="-9671.31"/>
    <m/>
  </r>
  <r>
    <x v="84"/>
    <n v="11"/>
    <n v="2024"/>
    <n v="4"/>
    <s v="Marketing"/>
    <x v="1"/>
    <x v="1"/>
    <s v="Marketing Revenue - West"/>
    <n v="10323.32"/>
    <n v="11266.56"/>
  </r>
  <r>
    <x v="84"/>
    <n v="11"/>
    <n v="2024"/>
    <n v="4"/>
    <s v="Services"/>
    <x v="0"/>
    <x v="2"/>
    <s v="Services Expense - North"/>
    <n v="-21246.79"/>
    <m/>
  </r>
  <r>
    <x v="85"/>
    <n v="11"/>
    <n v="2024"/>
    <n v="4"/>
    <s v="G&amp;A"/>
    <x v="0"/>
    <x v="0"/>
    <s v="G&amp;A Expense - East"/>
    <n v="-5258.3600000000006"/>
    <m/>
  </r>
  <r>
    <x v="85"/>
    <n v="11"/>
    <n v="2024"/>
    <n v="4"/>
    <s v="Services"/>
    <x v="1"/>
    <x v="3"/>
    <s v="Services Revenue - South"/>
    <n v="26725.62"/>
    <n v="25613.33"/>
  </r>
  <r>
    <x v="86"/>
    <n v="11"/>
    <n v="2024"/>
    <n v="4"/>
    <s v="Subscriptions"/>
    <x v="0"/>
    <x v="0"/>
    <s v="Subscriptions Expense - East"/>
    <n v="-25572.3"/>
    <m/>
  </r>
  <r>
    <x v="86"/>
    <n v="11"/>
    <n v="2024"/>
    <n v="4"/>
    <s v="R&amp;D"/>
    <x v="0"/>
    <x v="1"/>
    <s v="R&amp;D Expense - West"/>
    <n v="-6121.5"/>
    <m/>
  </r>
  <r>
    <x v="87"/>
    <n v="11"/>
    <n v="2024"/>
    <n v="4"/>
    <s v="Services"/>
    <x v="1"/>
    <x v="1"/>
    <s v="Services Revenue - West"/>
    <n v="23512.35"/>
    <n v="23032.080000000002"/>
  </r>
  <r>
    <x v="87"/>
    <n v="11"/>
    <n v="2024"/>
    <n v="4"/>
    <s v="Marketing"/>
    <x v="0"/>
    <x v="1"/>
    <s v="Marketing Expense - West"/>
    <n v="-12741.41"/>
    <m/>
  </r>
  <r>
    <x v="87"/>
    <n v="11"/>
    <n v="2024"/>
    <n v="4"/>
    <s v="R&amp;D"/>
    <x v="1"/>
    <x v="1"/>
    <s v="R&amp;D Revenue - West"/>
    <n v="11502.36"/>
    <n v="12223.66"/>
  </r>
  <r>
    <x v="88"/>
    <n v="11"/>
    <n v="2024"/>
    <n v="4"/>
    <s v="Subscriptions"/>
    <x v="1"/>
    <x v="1"/>
    <s v="Subscriptions Revenue - West"/>
    <n v="35452.480000000003"/>
    <n v="36578.639999999999"/>
  </r>
  <r>
    <x v="88"/>
    <n v="11"/>
    <n v="2024"/>
    <n v="4"/>
    <s v="Operations"/>
    <x v="0"/>
    <x v="3"/>
    <s v="Operations Expense - South"/>
    <n v="-11437.01"/>
    <m/>
  </r>
  <r>
    <x v="88"/>
    <n v="11"/>
    <n v="2024"/>
    <n v="4"/>
    <s v="G&amp;A"/>
    <x v="1"/>
    <x v="3"/>
    <s v="G&amp;A Revenue - South"/>
    <n v="6317.21"/>
    <n v="6256.18"/>
  </r>
  <r>
    <x v="89"/>
    <n v="11"/>
    <n v="2024"/>
    <n v="4"/>
    <s v="HR"/>
    <x v="0"/>
    <x v="2"/>
    <s v="HR Expense - North"/>
    <n v="-2788.73"/>
    <m/>
  </r>
  <r>
    <x v="90"/>
    <n v="11"/>
    <n v="2024"/>
    <n v="4"/>
    <s v="Operations"/>
    <x v="1"/>
    <x v="1"/>
    <s v="Operations Revenue - West"/>
    <n v="22348.54"/>
    <n v="23076.91"/>
  </r>
  <r>
    <x v="90"/>
    <n v="11"/>
    <n v="2024"/>
    <n v="4"/>
    <s v="HR"/>
    <x v="0"/>
    <x v="1"/>
    <s v="HR Expense - West"/>
    <n v="-3195.17"/>
    <m/>
  </r>
  <r>
    <x v="91"/>
    <n v="11"/>
    <n v="2024"/>
    <n v="4"/>
    <s v="Marketing"/>
    <x v="0"/>
    <x v="2"/>
    <s v="Marketing Expense - North"/>
    <n v="-9953.06"/>
    <m/>
  </r>
  <r>
    <x v="91"/>
    <n v="11"/>
    <n v="2024"/>
    <n v="4"/>
    <s v="Marketing"/>
    <x v="0"/>
    <x v="3"/>
    <s v="Marketing Expense - South"/>
    <n v="-3413.85"/>
    <m/>
  </r>
  <r>
    <x v="92"/>
    <n v="11"/>
    <n v="2024"/>
    <n v="4"/>
    <s v="Sales"/>
    <x v="1"/>
    <x v="0"/>
    <s v="Sales Revenue - East"/>
    <n v="40558.21"/>
    <n v="43391.99"/>
  </r>
  <r>
    <x v="92"/>
    <n v="11"/>
    <n v="2024"/>
    <n v="4"/>
    <s v="Subscriptions"/>
    <x v="0"/>
    <x v="2"/>
    <s v="Subscriptions Expense - North"/>
    <n v="-42008.63"/>
    <m/>
  </r>
  <r>
    <x v="92"/>
    <n v="11"/>
    <n v="2024"/>
    <n v="4"/>
    <s v="Marketing"/>
    <x v="1"/>
    <x v="2"/>
    <s v="Marketing Revenue - North"/>
    <n v="12060.33"/>
    <n v="12445.53"/>
  </r>
  <r>
    <x v="92"/>
    <n v="11"/>
    <n v="2024"/>
    <n v="4"/>
    <s v="Subscriptions"/>
    <x v="1"/>
    <x v="3"/>
    <s v="Subscriptions Revenue - South"/>
    <n v="30356.5"/>
    <n v="31879.34"/>
  </r>
  <r>
    <x v="92"/>
    <n v="11"/>
    <n v="2024"/>
    <n v="4"/>
    <s v="Operations"/>
    <x v="1"/>
    <x v="3"/>
    <s v="Operations Revenue - South"/>
    <n v="21602.92"/>
    <n v="22030.35"/>
  </r>
  <r>
    <x v="93"/>
    <n v="11"/>
    <n v="2024"/>
    <n v="4"/>
    <s v="Services"/>
    <x v="0"/>
    <x v="1"/>
    <s v="Services Expense - West"/>
    <n v="-15401.25"/>
    <m/>
  </r>
  <r>
    <x v="93"/>
    <n v="11"/>
    <n v="2024"/>
    <n v="4"/>
    <s v="Operations"/>
    <x v="0"/>
    <x v="1"/>
    <s v="Operations Expense - West"/>
    <n v="-31833.48"/>
    <m/>
  </r>
  <r>
    <x v="93"/>
    <n v="11"/>
    <n v="2024"/>
    <n v="4"/>
    <s v="R&amp;D"/>
    <x v="1"/>
    <x v="2"/>
    <s v="R&amp;D Revenue - North"/>
    <n v="16227.47"/>
    <n v="17726.22"/>
  </r>
  <r>
    <x v="94"/>
    <n v="11"/>
    <n v="2024"/>
    <n v="4"/>
    <s v="Services"/>
    <x v="0"/>
    <x v="0"/>
    <s v="Services Expense - East"/>
    <n v="-16165.82"/>
    <m/>
  </r>
  <r>
    <x v="94"/>
    <n v="11"/>
    <n v="2024"/>
    <n v="4"/>
    <s v="Operations"/>
    <x v="1"/>
    <x v="0"/>
    <s v="Operations Revenue - East"/>
    <n v="19576.919999999998"/>
    <n v="21476.15"/>
  </r>
  <r>
    <x v="94"/>
    <n v="11"/>
    <n v="2024"/>
    <n v="4"/>
    <s v="G&amp;A"/>
    <x v="0"/>
    <x v="2"/>
    <s v="G&amp;A Expense - North"/>
    <n v="-7754.77"/>
    <m/>
  </r>
  <r>
    <x v="94"/>
    <n v="11"/>
    <n v="2024"/>
    <n v="4"/>
    <s v="R&amp;D"/>
    <x v="0"/>
    <x v="3"/>
    <s v="R&amp;D Expense - South"/>
    <n v="-7372.8899999999994"/>
    <m/>
  </r>
  <r>
    <x v="95"/>
    <n v="11"/>
    <n v="2024"/>
    <n v="4"/>
    <s v="Sales"/>
    <x v="0"/>
    <x v="0"/>
    <s v="Sales Expense - East"/>
    <n v="-20951.86"/>
    <m/>
  </r>
  <r>
    <x v="95"/>
    <n v="11"/>
    <n v="2024"/>
    <n v="4"/>
    <s v="R&amp;D"/>
    <x v="0"/>
    <x v="0"/>
    <s v="R&amp;D Expense - East"/>
    <n v="-14878.4"/>
    <m/>
  </r>
  <r>
    <x v="95"/>
    <n v="11"/>
    <n v="2024"/>
    <n v="4"/>
    <s v="Services"/>
    <x v="0"/>
    <x v="3"/>
    <s v="Services Expense - South"/>
    <n v="-32481.1"/>
    <m/>
  </r>
  <r>
    <x v="96"/>
    <n v="11"/>
    <n v="2024"/>
    <n v="4"/>
    <s v="HR"/>
    <x v="0"/>
    <x v="0"/>
    <s v="HR Expense - East"/>
    <n v="-3976.28"/>
    <m/>
  </r>
  <r>
    <x v="96"/>
    <n v="11"/>
    <n v="2024"/>
    <n v="4"/>
    <s v="G&amp;A"/>
    <x v="0"/>
    <x v="1"/>
    <s v="G&amp;A Expense - West"/>
    <n v="-8538.61"/>
    <m/>
  </r>
  <r>
    <x v="96"/>
    <n v="11"/>
    <n v="2024"/>
    <n v="4"/>
    <s v="Services"/>
    <x v="1"/>
    <x v="2"/>
    <s v="Services Revenue - North"/>
    <n v="28376.09"/>
    <n v="26566.27"/>
  </r>
  <r>
    <x v="97"/>
    <n v="11"/>
    <n v="2024"/>
    <n v="4"/>
    <s v="HR"/>
    <x v="0"/>
    <x v="3"/>
    <s v="HR Expense - South"/>
    <n v="-2378.46"/>
    <m/>
  </r>
  <r>
    <x v="98"/>
    <n v="11"/>
    <n v="2024"/>
    <n v="4"/>
    <s v="G&amp;A"/>
    <x v="1"/>
    <x v="0"/>
    <s v="G&amp;A Revenue - East"/>
    <n v="8779.0400000000009"/>
    <n v="9616.39"/>
  </r>
  <r>
    <x v="98"/>
    <n v="11"/>
    <n v="2024"/>
    <n v="4"/>
    <s v="Operations"/>
    <x v="0"/>
    <x v="2"/>
    <s v="Operations Expense - North"/>
    <n v="-11827.769999999999"/>
    <m/>
  </r>
  <r>
    <x v="99"/>
    <n v="11"/>
    <n v="2024"/>
    <n v="4"/>
    <s v="HR"/>
    <x v="1"/>
    <x v="0"/>
    <s v="HR Revenue - East"/>
    <n v="5148.22"/>
    <n v="4880.05"/>
  </r>
  <r>
    <x v="99"/>
    <n v="11"/>
    <n v="2024"/>
    <n v="4"/>
    <s v="Sales"/>
    <x v="1"/>
    <x v="2"/>
    <s v="Sales Revenue - North"/>
    <n v="35655.42"/>
    <n v="37427.870000000003"/>
  </r>
  <r>
    <x v="100"/>
    <n v="11"/>
    <n v="2024"/>
    <n v="4"/>
    <s v="Operations"/>
    <x v="1"/>
    <x v="2"/>
    <s v="Operations Revenue - North"/>
    <n v="21818.19"/>
    <n v="23124.06"/>
  </r>
  <r>
    <x v="101"/>
    <n v="11"/>
    <n v="2024"/>
    <n v="4"/>
    <s v="G&amp;A"/>
    <x v="1"/>
    <x v="1"/>
    <s v="G&amp;A Revenue - West"/>
    <n v="7345.31"/>
    <n v="7782.51"/>
  </r>
  <r>
    <x v="101"/>
    <n v="11"/>
    <n v="2024"/>
    <n v="4"/>
    <s v="R&amp;D"/>
    <x v="1"/>
    <x v="3"/>
    <s v="R&amp;D Revenue - South"/>
    <n v="10606.05"/>
    <n v="10473.11"/>
  </r>
  <r>
    <x v="102"/>
    <n v="11"/>
    <n v="2024"/>
    <n v="4"/>
    <s v="Sales"/>
    <x v="0"/>
    <x v="3"/>
    <s v="Sales Expense - South"/>
    <n v="-10755.95"/>
    <m/>
  </r>
  <r>
    <x v="103"/>
    <n v="11"/>
    <n v="2024"/>
    <n v="4"/>
    <s v="HR"/>
    <x v="1"/>
    <x v="3"/>
    <s v="HR Revenue - South"/>
    <n v="6328.35"/>
    <n v="6833.74"/>
  </r>
  <r>
    <x v="104"/>
    <n v="11"/>
    <n v="2024"/>
    <n v="4"/>
    <s v="Marketing"/>
    <x v="1"/>
    <x v="3"/>
    <s v="Marketing Revenue - South"/>
    <n v="7455.95"/>
    <n v="8196.6299999999992"/>
  </r>
  <r>
    <x v="105"/>
    <n v="11"/>
    <n v="2024"/>
    <n v="4"/>
    <s v="Services"/>
    <x v="1"/>
    <x v="0"/>
    <s v="Services Revenue - East"/>
    <n v="29641.919999999998"/>
    <n v="27791.07"/>
  </r>
  <r>
    <x v="105"/>
    <n v="11"/>
    <n v="2024"/>
    <n v="4"/>
    <s v="Sales"/>
    <x v="1"/>
    <x v="1"/>
    <s v="Sales Revenue - West"/>
    <n v="33259.24"/>
    <n v="34524.67"/>
  </r>
  <r>
    <x v="105"/>
    <n v="11"/>
    <n v="2024"/>
    <n v="4"/>
    <s v="Subscriptions"/>
    <x v="0"/>
    <x v="1"/>
    <s v="Subscriptions Expense - West"/>
    <n v="-53877.539999999994"/>
    <m/>
  </r>
  <r>
    <x v="105"/>
    <n v="11"/>
    <n v="2024"/>
    <n v="4"/>
    <s v="HR"/>
    <x v="1"/>
    <x v="1"/>
    <s v="HR Revenue - West"/>
    <n v="5790.07"/>
    <n v="5939.19"/>
  </r>
  <r>
    <x v="106"/>
    <n v="12"/>
    <n v="2024"/>
    <n v="4"/>
    <s v="G&amp;A"/>
    <x v="1"/>
    <x v="1"/>
    <s v="G&amp;A Revenue - West"/>
    <n v="6371.01"/>
    <n v="6081.73"/>
  </r>
  <r>
    <x v="106"/>
    <n v="12"/>
    <n v="2024"/>
    <n v="4"/>
    <s v="Marketing"/>
    <x v="1"/>
    <x v="3"/>
    <s v="Marketing Revenue - South"/>
    <n v="11014.13"/>
    <n v="11742.5"/>
  </r>
  <r>
    <x v="107"/>
    <n v="12"/>
    <n v="2024"/>
    <n v="4"/>
    <s v="Subscriptions"/>
    <x v="1"/>
    <x v="1"/>
    <s v="Subscriptions Revenue - West"/>
    <n v="30604.91"/>
    <n v="31237.26"/>
  </r>
  <r>
    <x v="107"/>
    <n v="12"/>
    <n v="2024"/>
    <n v="4"/>
    <s v="G&amp;A"/>
    <x v="1"/>
    <x v="3"/>
    <s v="G&amp;A Revenue - South"/>
    <n v="7307.12"/>
    <n v="6895.27"/>
  </r>
  <r>
    <x v="108"/>
    <n v="12"/>
    <n v="2024"/>
    <n v="4"/>
    <s v="R&amp;D"/>
    <x v="1"/>
    <x v="0"/>
    <s v="R&amp;D Revenue - East"/>
    <n v="14789.07"/>
    <n v="15512.45"/>
  </r>
  <r>
    <x v="108"/>
    <n v="12"/>
    <n v="2024"/>
    <n v="4"/>
    <s v="Operations"/>
    <x v="1"/>
    <x v="3"/>
    <s v="Operations Revenue - South"/>
    <n v="16123.52"/>
    <n v="16595.22"/>
  </r>
  <r>
    <x v="109"/>
    <n v="12"/>
    <n v="2024"/>
    <n v="4"/>
    <s v="R&amp;D"/>
    <x v="0"/>
    <x v="3"/>
    <s v="R&amp;D Expense - South"/>
    <n v="-8518.25"/>
    <m/>
  </r>
  <r>
    <x v="110"/>
    <n v="12"/>
    <n v="2024"/>
    <n v="4"/>
    <s v="G&amp;A"/>
    <x v="0"/>
    <x v="0"/>
    <s v="G&amp;A Expense - East"/>
    <n v="-5155.6200000000008"/>
    <m/>
  </r>
  <r>
    <x v="110"/>
    <n v="12"/>
    <n v="2024"/>
    <n v="4"/>
    <s v="Services"/>
    <x v="0"/>
    <x v="1"/>
    <s v="Services Expense - West"/>
    <n v="-12558.24"/>
    <m/>
  </r>
  <r>
    <x v="111"/>
    <n v="12"/>
    <n v="2024"/>
    <n v="4"/>
    <s v="Subscriptions"/>
    <x v="1"/>
    <x v="2"/>
    <s v="Subscriptions Revenue - North"/>
    <n v="33689.61"/>
    <n v="34296.65"/>
  </r>
  <r>
    <x v="112"/>
    <n v="12"/>
    <n v="2024"/>
    <n v="4"/>
    <s v="Subscriptions"/>
    <x v="1"/>
    <x v="0"/>
    <s v="Subscriptions Revenue - East"/>
    <n v="30037.62"/>
    <n v="28481.82"/>
  </r>
  <r>
    <x v="112"/>
    <n v="12"/>
    <n v="2024"/>
    <n v="4"/>
    <s v="R&amp;D"/>
    <x v="0"/>
    <x v="0"/>
    <s v="R&amp;D Expense - East"/>
    <n v="-13052.4"/>
    <m/>
  </r>
  <r>
    <x v="112"/>
    <n v="12"/>
    <n v="2024"/>
    <n v="4"/>
    <s v="Sales"/>
    <x v="0"/>
    <x v="3"/>
    <s v="Sales Expense - South"/>
    <n v="-22363.82"/>
    <m/>
  </r>
  <r>
    <x v="113"/>
    <n v="12"/>
    <n v="2024"/>
    <n v="4"/>
    <s v="Sales"/>
    <x v="0"/>
    <x v="0"/>
    <s v="Sales Expense - East"/>
    <n v="-38078.99"/>
    <m/>
  </r>
  <r>
    <x v="113"/>
    <n v="12"/>
    <n v="2024"/>
    <n v="4"/>
    <s v="R&amp;D"/>
    <x v="1"/>
    <x v="2"/>
    <s v="R&amp;D Revenue - North"/>
    <n v="15688.42"/>
    <n v="16972.830000000002"/>
  </r>
  <r>
    <x v="113"/>
    <n v="12"/>
    <n v="2024"/>
    <n v="4"/>
    <s v="R&amp;D"/>
    <x v="0"/>
    <x v="2"/>
    <s v="R&amp;D Expense - North"/>
    <n v="-20392.599999999999"/>
    <m/>
  </r>
  <r>
    <x v="114"/>
    <n v="12"/>
    <n v="2024"/>
    <n v="4"/>
    <s v="G&amp;A"/>
    <x v="1"/>
    <x v="0"/>
    <s v="G&amp;A Revenue - East"/>
    <n v="8053.1"/>
    <n v="8432.64"/>
  </r>
  <r>
    <x v="114"/>
    <n v="12"/>
    <n v="2024"/>
    <n v="4"/>
    <s v="Sales"/>
    <x v="0"/>
    <x v="2"/>
    <s v="Sales Expense - North"/>
    <n v="-23602.26"/>
    <m/>
  </r>
  <r>
    <x v="114"/>
    <n v="12"/>
    <n v="2024"/>
    <n v="4"/>
    <s v="Subscriptions"/>
    <x v="0"/>
    <x v="2"/>
    <s v="Subscriptions Expense - North"/>
    <n v="-10762.37"/>
    <m/>
  </r>
  <r>
    <x v="114"/>
    <n v="12"/>
    <n v="2024"/>
    <n v="4"/>
    <s v="G&amp;A"/>
    <x v="0"/>
    <x v="2"/>
    <s v="G&amp;A Expense - North"/>
    <n v="-3742.98"/>
    <m/>
  </r>
  <r>
    <x v="114"/>
    <n v="12"/>
    <n v="2024"/>
    <n v="4"/>
    <s v="HR"/>
    <x v="1"/>
    <x v="3"/>
    <s v="HR Revenue - South"/>
    <n v="5763.38"/>
    <n v="6036.64"/>
  </r>
  <r>
    <x v="115"/>
    <n v="12"/>
    <n v="2024"/>
    <n v="4"/>
    <s v="Subscriptions"/>
    <x v="0"/>
    <x v="1"/>
    <s v="Subscriptions Expense - West"/>
    <n v="-20757.95"/>
    <m/>
  </r>
  <r>
    <x v="115"/>
    <n v="12"/>
    <n v="2024"/>
    <n v="4"/>
    <s v="Sales"/>
    <x v="1"/>
    <x v="3"/>
    <s v="Sales Revenue - South"/>
    <n v="34861.15"/>
    <n v="33697.72"/>
  </r>
  <r>
    <x v="116"/>
    <n v="12"/>
    <n v="2024"/>
    <n v="4"/>
    <s v="Marketing"/>
    <x v="0"/>
    <x v="1"/>
    <s v="Marketing Expense - West"/>
    <n v="-5106.92"/>
    <m/>
  </r>
  <r>
    <x v="117"/>
    <n v="12"/>
    <n v="2024"/>
    <n v="4"/>
    <s v="Services"/>
    <x v="0"/>
    <x v="0"/>
    <s v="Services Expense - East"/>
    <n v="-10529.34"/>
    <m/>
  </r>
  <r>
    <x v="117"/>
    <n v="12"/>
    <n v="2024"/>
    <n v="4"/>
    <s v="Marketing"/>
    <x v="0"/>
    <x v="0"/>
    <s v="Marketing Expense - East"/>
    <n v="-5496.56"/>
    <m/>
  </r>
  <r>
    <x v="117"/>
    <n v="12"/>
    <n v="2024"/>
    <n v="4"/>
    <s v="HR"/>
    <x v="1"/>
    <x v="1"/>
    <s v="HR Revenue - West"/>
    <n v="6734.53"/>
    <n v="7057"/>
  </r>
  <r>
    <x v="118"/>
    <n v="12"/>
    <n v="2024"/>
    <n v="4"/>
    <s v="Services"/>
    <x v="1"/>
    <x v="0"/>
    <s v="Services Revenue - East"/>
    <n v="26206.53"/>
    <n v="27257.040000000001"/>
  </r>
  <r>
    <x v="118"/>
    <n v="12"/>
    <n v="2024"/>
    <n v="4"/>
    <s v="G&amp;A"/>
    <x v="0"/>
    <x v="1"/>
    <s v="G&amp;A Expense - West"/>
    <n v="-9360.75"/>
    <m/>
  </r>
  <r>
    <x v="119"/>
    <n v="12"/>
    <n v="2024"/>
    <n v="4"/>
    <s v="Services"/>
    <x v="1"/>
    <x v="3"/>
    <s v="Services Revenue - South"/>
    <n v="20262.98"/>
    <n v="20305.48"/>
  </r>
  <r>
    <x v="120"/>
    <n v="12"/>
    <n v="2024"/>
    <n v="4"/>
    <s v="Operations"/>
    <x v="0"/>
    <x v="1"/>
    <s v="Operations Expense - West"/>
    <n v="-23090.6"/>
    <m/>
  </r>
  <r>
    <x v="120"/>
    <n v="12"/>
    <n v="2024"/>
    <n v="4"/>
    <s v="Operations"/>
    <x v="0"/>
    <x v="2"/>
    <s v="Operations Expense - North"/>
    <n v="-12324.37"/>
    <m/>
  </r>
  <r>
    <x v="120"/>
    <n v="12"/>
    <n v="2024"/>
    <n v="4"/>
    <s v="Subscriptions"/>
    <x v="0"/>
    <x v="3"/>
    <s v="Subscriptions Expense - South"/>
    <n v="-40902.79"/>
    <m/>
  </r>
  <r>
    <x v="120"/>
    <n v="12"/>
    <n v="2024"/>
    <n v="4"/>
    <s v="Operations"/>
    <x v="0"/>
    <x v="3"/>
    <s v="Operations Expense - South"/>
    <n v="-20516.830000000002"/>
    <m/>
  </r>
  <r>
    <x v="121"/>
    <n v="12"/>
    <n v="2024"/>
    <n v="4"/>
    <s v="HR"/>
    <x v="1"/>
    <x v="0"/>
    <s v="HR Revenue - East"/>
    <n v="4856.41"/>
    <n v="5047.1000000000004"/>
  </r>
  <r>
    <x v="121"/>
    <n v="12"/>
    <n v="2024"/>
    <n v="4"/>
    <s v="Marketing"/>
    <x v="1"/>
    <x v="2"/>
    <s v="Marketing Revenue - North"/>
    <n v="9744.24"/>
    <n v="9161.85"/>
  </r>
  <r>
    <x v="121"/>
    <n v="12"/>
    <n v="2024"/>
    <n v="4"/>
    <s v="Subscriptions"/>
    <x v="1"/>
    <x v="3"/>
    <s v="Subscriptions Revenue - South"/>
    <n v="26704.94"/>
    <n v="28156.04"/>
  </r>
  <r>
    <x v="122"/>
    <n v="12"/>
    <n v="2024"/>
    <n v="4"/>
    <s v="Services"/>
    <x v="1"/>
    <x v="1"/>
    <s v="Services Revenue - West"/>
    <n v="22942.87"/>
    <n v="22024.9"/>
  </r>
  <r>
    <x v="122"/>
    <n v="12"/>
    <n v="2024"/>
    <n v="4"/>
    <s v="R&amp;D"/>
    <x v="0"/>
    <x v="1"/>
    <s v="R&amp;D Expense - West"/>
    <n v="-15972.58"/>
    <m/>
  </r>
  <r>
    <x v="122"/>
    <n v="12"/>
    <n v="2024"/>
    <n v="4"/>
    <s v="G&amp;A"/>
    <x v="1"/>
    <x v="2"/>
    <s v="G&amp;A Revenue - North"/>
    <n v="5811.42"/>
    <n v="5888.44"/>
  </r>
  <r>
    <x v="123"/>
    <n v="12"/>
    <n v="2024"/>
    <n v="4"/>
    <s v="Sales"/>
    <x v="1"/>
    <x v="2"/>
    <s v="Sales Revenue - North"/>
    <n v="38532.550000000003"/>
    <n v="37306.269999999997"/>
  </r>
  <r>
    <x v="124"/>
    <n v="12"/>
    <n v="2024"/>
    <n v="4"/>
    <s v="Sales"/>
    <x v="1"/>
    <x v="0"/>
    <s v="Sales Revenue - East"/>
    <n v="29689.07"/>
    <n v="30041.85"/>
  </r>
  <r>
    <x v="124"/>
    <n v="12"/>
    <n v="2024"/>
    <n v="4"/>
    <s v="Subscriptions"/>
    <x v="0"/>
    <x v="0"/>
    <s v="Subscriptions Expense - East"/>
    <n v="-15401.1"/>
    <m/>
  </r>
  <r>
    <x v="124"/>
    <n v="12"/>
    <n v="2024"/>
    <n v="4"/>
    <s v="Marketing"/>
    <x v="1"/>
    <x v="0"/>
    <s v="Marketing Revenue - East"/>
    <n v="9755.93"/>
    <n v="9366.74"/>
  </r>
  <r>
    <x v="124"/>
    <n v="12"/>
    <n v="2024"/>
    <n v="4"/>
    <s v="Sales"/>
    <x v="1"/>
    <x v="1"/>
    <s v="Sales Revenue - West"/>
    <n v="29344.49"/>
    <n v="27637.49"/>
  </r>
  <r>
    <x v="124"/>
    <n v="12"/>
    <n v="2024"/>
    <n v="4"/>
    <s v="HR"/>
    <x v="0"/>
    <x v="2"/>
    <s v="HR Expense - North"/>
    <n v="-4656.53"/>
    <m/>
  </r>
  <r>
    <x v="124"/>
    <n v="12"/>
    <n v="2024"/>
    <n v="4"/>
    <s v="Marketing"/>
    <x v="0"/>
    <x v="3"/>
    <s v="Marketing Expense - South"/>
    <n v="-5177.07"/>
    <m/>
  </r>
  <r>
    <x v="125"/>
    <n v="12"/>
    <n v="2024"/>
    <n v="4"/>
    <s v="Operations"/>
    <x v="1"/>
    <x v="1"/>
    <s v="Operations Revenue - West"/>
    <n v="17434.990000000002"/>
    <n v="18296.45"/>
  </r>
  <r>
    <x v="125"/>
    <n v="12"/>
    <n v="2024"/>
    <n v="4"/>
    <s v="Operations"/>
    <x v="1"/>
    <x v="2"/>
    <s v="Operations Revenue - North"/>
    <n v="14744.3"/>
    <n v="15513.43"/>
  </r>
  <r>
    <x v="126"/>
    <n v="12"/>
    <n v="2024"/>
    <n v="4"/>
    <s v="Services"/>
    <x v="0"/>
    <x v="2"/>
    <s v="Services Expense - North"/>
    <n v="-15164.99"/>
    <m/>
  </r>
  <r>
    <x v="126"/>
    <n v="12"/>
    <n v="2024"/>
    <n v="4"/>
    <s v="HR"/>
    <x v="0"/>
    <x v="3"/>
    <s v="HR Expense - South"/>
    <n v="-2959.49"/>
    <m/>
  </r>
  <r>
    <x v="126"/>
    <n v="12"/>
    <n v="2024"/>
    <n v="4"/>
    <s v="R&amp;D"/>
    <x v="1"/>
    <x v="3"/>
    <s v="R&amp;D Revenue - South"/>
    <n v="11813.64"/>
    <n v="11774.86"/>
  </r>
  <r>
    <x v="127"/>
    <n v="12"/>
    <n v="2024"/>
    <n v="4"/>
    <s v="Operations"/>
    <x v="0"/>
    <x v="0"/>
    <s v="Operations Expense - East"/>
    <n v="-13269.73"/>
    <m/>
  </r>
  <r>
    <x v="127"/>
    <n v="12"/>
    <n v="2024"/>
    <n v="4"/>
    <s v="HR"/>
    <x v="0"/>
    <x v="0"/>
    <s v="HR Expense - East"/>
    <n v="-3405.16"/>
    <m/>
  </r>
  <r>
    <x v="127"/>
    <n v="12"/>
    <n v="2024"/>
    <n v="4"/>
    <s v="HR"/>
    <x v="1"/>
    <x v="2"/>
    <s v="HR Revenue - North"/>
    <n v="5921.36"/>
    <n v="5966.1"/>
  </r>
  <r>
    <x v="128"/>
    <n v="12"/>
    <n v="2024"/>
    <n v="4"/>
    <s v="Operations"/>
    <x v="1"/>
    <x v="0"/>
    <s v="Operations Revenue - East"/>
    <n v="18992.95"/>
    <n v="18598.93"/>
  </r>
  <r>
    <x v="128"/>
    <n v="12"/>
    <n v="2024"/>
    <n v="4"/>
    <s v="Marketing"/>
    <x v="1"/>
    <x v="1"/>
    <s v="Marketing Revenue - West"/>
    <n v="9828.49"/>
    <n v="10419.969999999999"/>
  </r>
  <r>
    <x v="128"/>
    <n v="12"/>
    <n v="2024"/>
    <n v="4"/>
    <s v="HR"/>
    <x v="0"/>
    <x v="1"/>
    <s v="HR Expense - West"/>
    <n v="-5153.18"/>
    <m/>
  </r>
  <r>
    <x v="129"/>
    <n v="12"/>
    <n v="2024"/>
    <n v="4"/>
    <s v="Marketing"/>
    <x v="0"/>
    <x v="2"/>
    <s v="Marketing Expense - North"/>
    <n v="-10284.040000000001"/>
    <m/>
  </r>
  <r>
    <x v="129"/>
    <n v="12"/>
    <n v="2024"/>
    <n v="4"/>
    <s v="G&amp;A"/>
    <x v="0"/>
    <x v="3"/>
    <s v="G&amp;A Expense - South"/>
    <n v="-4969.28"/>
    <m/>
  </r>
  <r>
    <x v="130"/>
    <n v="12"/>
    <n v="2024"/>
    <n v="4"/>
    <s v="Sales"/>
    <x v="0"/>
    <x v="1"/>
    <s v="Sales Expense - West"/>
    <n v="-15015.1"/>
    <m/>
  </r>
  <r>
    <x v="130"/>
    <n v="12"/>
    <n v="2024"/>
    <n v="4"/>
    <s v="R&amp;D"/>
    <x v="1"/>
    <x v="1"/>
    <s v="R&amp;D Revenue - West"/>
    <n v="11399.3"/>
    <n v="10878.11"/>
  </r>
  <r>
    <x v="131"/>
    <n v="12"/>
    <n v="2024"/>
    <n v="4"/>
    <s v="Services"/>
    <x v="0"/>
    <x v="3"/>
    <s v="Services Expense - South"/>
    <n v="-8477.31"/>
    <m/>
  </r>
  <r>
    <x v="132"/>
    <n v="12"/>
    <n v="2024"/>
    <n v="4"/>
    <s v="Services"/>
    <x v="1"/>
    <x v="2"/>
    <s v="Services Revenue - North"/>
    <n v="20743.509999999998"/>
    <n v="19825.66"/>
  </r>
  <r>
    <x v="133"/>
    <n v="1"/>
    <n v="2025"/>
    <n v="1"/>
    <s v="Subscriptions"/>
    <x v="1"/>
    <x v="2"/>
    <s v="Subscriptions Revenue - North"/>
    <n v="25344.76"/>
    <n v="27614.03"/>
  </r>
  <r>
    <x v="133"/>
    <n v="1"/>
    <n v="2025"/>
    <n v="1"/>
    <s v="G&amp;A"/>
    <x v="0"/>
    <x v="2"/>
    <s v="G&amp;A Expense - North"/>
    <n v="-5230.13"/>
    <m/>
  </r>
  <r>
    <x v="133"/>
    <n v="1"/>
    <n v="2025"/>
    <n v="1"/>
    <s v="G&amp;A"/>
    <x v="1"/>
    <x v="3"/>
    <s v="G&amp;A Revenue - South"/>
    <n v="4895.6899999999996"/>
    <n v="5226.3500000000004"/>
  </r>
  <r>
    <x v="134"/>
    <n v="1"/>
    <n v="2025"/>
    <n v="1"/>
    <s v="Services"/>
    <x v="1"/>
    <x v="0"/>
    <s v="Services Revenue - East"/>
    <n v="18387.21"/>
    <n v="18436.939999999999"/>
  </r>
  <r>
    <x v="134"/>
    <n v="1"/>
    <n v="2025"/>
    <n v="1"/>
    <s v="Marketing"/>
    <x v="0"/>
    <x v="2"/>
    <s v="Marketing Expense - North"/>
    <n v="-5150.21"/>
    <m/>
  </r>
  <r>
    <x v="135"/>
    <n v="1"/>
    <n v="2025"/>
    <n v="1"/>
    <s v="Marketing"/>
    <x v="1"/>
    <x v="0"/>
    <s v="Marketing Revenue - East"/>
    <n v="7793.43"/>
    <n v="8222.8700000000008"/>
  </r>
  <r>
    <x v="135"/>
    <n v="1"/>
    <n v="2025"/>
    <n v="1"/>
    <s v="Sales"/>
    <x v="1"/>
    <x v="1"/>
    <s v="Sales Revenue - West"/>
    <n v="21952.400000000001"/>
    <n v="23833.3"/>
  </r>
  <r>
    <x v="135"/>
    <n v="1"/>
    <n v="2025"/>
    <n v="1"/>
    <s v="Subscriptions"/>
    <x v="0"/>
    <x v="2"/>
    <s v="Subscriptions Expense - North"/>
    <n v="-14324.740000000002"/>
    <m/>
  </r>
  <r>
    <x v="135"/>
    <n v="1"/>
    <n v="2025"/>
    <n v="1"/>
    <s v="Operations"/>
    <x v="0"/>
    <x v="3"/>
    <s v="Operations Expense - South"/>
    <n v="-11199.2"/>
    <m/>
  </r>
  <r>
    <x v="136"/>
    <n v="1"/>
    <n v="2025"/>
    <n v="1"/>
    <s v="Operations"/>
    <x v="0"/>
    <x v="2"/>
    <s v="Operations Expense - North"/>
    <n v="-21210.76"/>
    <m/>
  </r>
  <r>
    <x v="137"/>
    <n v="1"/>
    <n v="2025"/>
    <n v="1"/>
    <s v="Services"/>
    <x v="1"/>
    <x v="2"/>
    <s v="Services Revenue - North"/>
    <n v="20575.75"/>
    <n v="21794.35"/>
  </r>
  <r>
    <x v="137"/>
    <n v="1"/>
    <n v="2025"/>
    <n v="1"/>
    <s v="Services"/>
    <x v="0"/>
    <x v="2"/>
    <s v="Services Expense - North"/>
    <n v="-13543.18"/>
    <m/>
  </r>
  <r>
    <x v="137"/>
    <n v="1"/>
    <n v="2025"/>
    <n v="1"/>
    <s v="Sales"/>
    <x v="0"/>
    <x v="3"/>
    <s v="Sales Expense - South"/>
    <n v="-10393.56"/>
    <m/>
  </r>
  <r>
    <x v="138"/>
    <n v="1"/>
    <n v="2025"/>
    <n v="1"/>
    <s v="HR"/>
    <x v="0"/>
    <x v="2"/>
    <s v="HR Expense - North"/>
    <n v="-1996.79"/>
    <m/>
  </r>
  <r>
    <x v="139"/>
    <n v="1"/>
    <n v="2025"/>
    <n v="1"/>
    <s v="Marketing"/>
    <x v="0"/>
    <x v="1"/>
    <s v="Marketing Expense - West"/>
    <n v="-7320.62"/>
    <m/>
  </r>
  <r>
    <x v="140"/>
    <n v="1"/>
    <n v="2025"/>
    <n v="1"/>
    <s v="Services"/>
    <x v="1"/>
    <x v="1"/>
    <s v="Services Revenue - West"/>
    <n v="16335.62"/>
    <n v="17374.22"/>
  </r>
  <r>
    <x v="140"/>
    <n v="1"/>
    <n v="2025"/>
    <n v="1"/>
    <s v="R&amp;D"/>
    <x v="1"/>
    <x v="1"/>
    <s v="R&amp;D Revenue - West"/>
    <n v="13025.78"/>
    <n v="12852.07"/>
  </r>
  <r>
    <x v="140"/>
    <n v="1"/>
    <n v="2025"/>
    <n v="1"/>
    <s v="Operations"/>
    <x v="1"/>
    <x v="2"/>
    <s v="Operations Revenue - North"/>
    <n v="14296.64"/>
    <n v="15618.03"/>
  </r>
  <r>
    <x v="141"/>
    <n v="1"/>
    <n v="2025"/>
    <n v="1"/>
    <s v="HR"/>
    <x v="1"/>
    <x v="0"/>
    <s v="HR Revenue - East"/>
    <n v="5088.3"/>
    <n v="4997.47"/>
  </r>
  <r>
    <x v="141"/>
    <n v="1"/>
    <n v="2025"/>
    <n v="1"/>
    <s v="R&amp;D"/>
    <x v="1"/>
    <x v="0"/>
    <s v="R&amp;D Revenue - East"/>
    <n v="14010.72"/>
    <n v="13242.53"/>
  </r>
  <r>
    <x v="141"/>
    <n v="1"/>
    <n v="2025"/>
    <n v="1"/>
    <s v="Operations"/>
    <x v="1"/>
    <x v="1"/>
    <s v="Operations Revenue - West"/>
    <n v="18072.580000000002"/>
    <n v="18110.259999999998"/>
  </r>
  <r>
    <x v="142"/>
    <n v="1"/>
    <n v="2025"/>
    <n v="1"/>
    <s v="Subscriptions"/>
    <x v="0"/>
    <x v="0"/>
    <s v="Subscriptions Expense - East"/>
    <n v="-17311.740000000002"/>
    <m/>
  </r>
  <r>
    <x v="142"/>
    <n v="1"/>
    <n v="2025"/>
    <n v="1"/>
    <s v="R&amp;D"/>
    <x v="1"/>
    <x v="3"/>
    <s v="R&amp;D Revenue - South"/>
    <n v="11591.19"/>
    <n v="12716.97"/>
  </r>
  <r>
    <x v="143"/>
    <n v="1"/>
    <n v="2025"/>
    <n v="1"/>
    <s v="Marketing"/>
    <x v="0"/>
    <x v="0"/>
    <s v="Marketing Expense - East"/>
    <n v="-3029.26"/>
    <m/>
  </r>
  <r>
    <x v="143"/>
    <n v="1"/>
    <n v="2025"/>
    <n v="1"/>
    <s v="G&amp;A"/>
    <x v="1"/>
    <x v="0"/>
    <s v="G&amp;A Revenue - East"/>
    <n v="4960.3900000000003"/>
    <n v="4759.9799999999996"/>
  </r>
  <r>
    <x v="143"/>
    <n v="1"/>
    <n v="2025"/>
    <n v="1"/>
    <s v="G&amp;A"/>
    <x v="0"/>
    <x v="0"/>
    <s v="G&amp;A Expense - East"/>
    <n v="-5661.2"/>
    <m/>
  </r>
  <r>
    <x v="143"/>
    <n v="1"/>
    <n v="2025"/>
    <n v="1"/>
    <s v="R&amp;D"/>
    <x v="0"/>
    <x v="3"/>
    <s v="R&amp;D Expense - South"/>
    <n v="-6238.55"/>
    <m/>
  </r>
  <r>
    <x v="144"/>
    <n v="1"/>
    <n v="2025"/>
    <n v="1"/>
    <s v="Subscriptions"/>
    <x v="1"/>
    <x v="1"/>
    <s v="Subscriptions Revenue - West"/>
    <n v="24181.77"/>
    <n v="25555.8"/>
  </r>
  <r>
    <x v="145"/>
    <n v="1"/>
    <n v="2025"/>
    <n v="1"/>
    <s v="Services"/>
    <x v="0"/>
    <x v="0"/>
    <s v="Services Expense - East"/>
    <n v="-24631.48"/>
    <m/>
  </r>
  <r>
    <x v="145"/>
    <n v="1"/>
    <n v="2025"/>
    <n v="1"/>
    <s v="Subscriptions"/>
    <x v="0"/>
    <x v="1"/>
    <s v="Subscriptions Expense - West"/>
    <n v="-11264.98"/>
    <m/>
  </r>
  <r>
    <x v="146"/>
    <n v="1"/>
    <n v="2025"/>
    <n v="1"/>
    <s v="Sales"/>
    <x v="1"/>
    <x v="0"/>
    <s v="Sales Revenue - East"/>
    <n v="25011.31"/>
    <n v="27325.48"/>
  </r>
  <r>
    <x v="146"/>
    <n v="1"/>
    <n v="2025"/>
    <n v="1"/>
    <s v="Services"/>
    <x v="0"/>
    <x v="1"/>
    <s v="Services Expense - West"/>
    <n v="-23154.57"/>
    <m/>
  </r>
  <r>
    <x v="147"/>
    <n v="1"/>
    <n v="2025"/>
    <n v="1"/>
    <s v="Sales"/>
    <x v="1"/>
    <x v="2"/>
    <s v="Sales Revenue - North"/>
    <n v="30974.89"/>
    <n v="30717.71"/>
  </r>
  <r>
    <x v="148"/>
    <n v="1"/>
    <n v="2025"/>
    <n v="1"/>
    <s v="Sales"/>
    <x v="1"/>
    <x v="3"/>
    <s v="Sales Revenue - South"/>
    <n v="29149.39"/>
    <n v="27583.7"/>
  </r>
  <r>
    <x v="149"/>
    <n v="1"/>
    <n v="2025"/>
    <n v="1"/>
    <s v="Operations"/>
    <x v="0"/>
    <x v="1"/>
    <s v="Operations Expense - West"/>
    <n v="-11578.96"/>
    <m/>
  </r>
  <r>
    <x v="149"/>
    <n v="1"/>
    <n v="2025"/>
    <n v="1"/>
    <s v="R&amp;D"/>
    <x v="0"/>
    <x v="1"/>
    <s v="R&amp;D Expense - West"/>
    <n v="-18563.55"/>
    <m/>
  </r>
  <r>
    <x v="150"/>
    <n v="1"/>
    <n v="2025"/>
    <n v="1"/>
    <s v="Sales"/>
    <x v="0"/>
    <x v="2"/>
    <s v="Sales Expense - North"/>
    <n v="-33145.82"/>
    <m/>
  </r>
  <r>
    <x v="150"/>
    <n v="1"/>
    <n v="2025"/>
    <n v="1"/>
    <s v="HR"/>
    <x v="1"/>
    <x v="3"/>
    <s v="HR Revenue - South"/>
    <n v="3389.57"/>
    <n v="3491.48"/>
  </r>
  <r>
    <x v="151"/>
    <n v="1"/>
    <n v="2025"/>
    <n v="1"/>
    <s v="Subscriptions"/>
    <x v="1"/>
    <x v="0"/>
    <s v="Subscriptions Revenue - East"/>
    <n v="26524.97"/>
    <n v="25298.93"/>
  </r>
  <r>
    <x v="151"/>
    <n v="1"/>
    <n v="2025"/>
    <n v="1"/>
    <s v="G&amp;A"/>
    <x v="1"/>
    <x v="1"/>
    <s v="G&amp;A Revenue - West"/>
    <n v="5556.95"/>
    <n v="5388.29"/>
  </r>
  <r>
    <x v="151"/>
    <n v="1"/>
    <n v="2025"/>
    <n v="1"/>
    <s v="R&amp;D"/>
    <x v="1"/>
    <x v="2"/>
    <s v="R&amp;D Revenue - North"/>
    <n v="10698.49"/>
    <n v="10956.03"/>
  </r>
  <r>
    <x v="151"/>
    <n v="1"/>
    <n v="2025"/>
    <n v="1"/>
    <s v="G&amp;A"/>
    <x v="1"/>
    <x v="2"/>
    <s v="G&amp;A Revenue - North"/>
    <n v="6085.32"/>
    <n v="5671.79"/>
  </r>
  <r>
    <x v="151"/>
    <n v="1"/>
    <n v="2025"/>
    <n v="1"/>
    <s v="Operations"/>
    <x v="1"/>
    <x v="3"/>
    <s v="Operations Revenue - South"/>
    <n v="14276.77"/>
    <n v="13652.42"/>
  </r>
  <r>
    <x v="151"/>
    <n v="1"/>
    <n v="2025"/>
    <n v="1"/>
    <s v="G&amp;A"/>
    <x v="0"/>
    <x v="3"/>
    <s v="G&amp;A Expense - South"/>
    <n v="-3097.27"/>
    <m/>
  </r>
  <r>
    <x v="152"/>
    <n v="1"/>
    <n v="2025"/>
    <n v="1"/>
    <s v="Operations"/>
    <x v="1"/>
    <x v="0"/>
    <s v="Operations Revenue - East"/>
    <n v="14094.71"/>
    <n v="14269.64"/>
  </r>
  <r>
    <x v="152"/>
    <n v="1"/>
    <n v="2025"/>
    <n v="1"/>
    <s v="R&amp;D"/>
    <x v="0"/>
    <x v="2"/>
    <s v="R&amp;D Expense - North"/>
    <n v="-16465.34"/>
    <m/>
  </r>
  <r>
    <x v="152"/>
    <n v="1"/>
    <n v="2025"/>
    <n v="1"/>
    <s v="Marketing"/>
    <x v="1"/>
    <x v="3"/>
    <s v="Marketing Revenue - South"/>
    <n v="8568.1299999999992"/>
    <n v="8517.2000000000007"/>
  </r>
  <r>
    <x v="152"/>
    <n v="1"/>
    <n v="2025"/>
    <n v="1"/>
    <s v="HR"/>
    <x v="0"/>
    <x v="3"/>
    <s v="HR Expense - South"/>
    <n v="-2203.09"/>
    <m/>
  </r>
  <r>
    <x v="153"/>
    <n v="1"/>
    <n v="2025"/>
    <n v="1"/>
    <s v="Services"/>
    <x v="1"/>
    <x v="3"/>
    <s v="Services Revenue - South"/>
    <n v="16018.52"/>
    <n v="16346.5"/>
  </r>
  <r>
    <x v="154"/>
    <n v="1"/>
    <n v="2025"/>
    <n v="1"/>
    <s v="Sales"/>
    <x v="0"/>
    <x v="0"/>
    <s v="Sales Expense - East"/>
    <n v="-27638.34"/>
    <m/>
  </r>
  <r>
    <x v="154"/>
    <n v="1"/>
    <n v="2025"/>
    <n v="1"/>
    <s v="HR"/>
    <x v="0"/>
    <x v="0"/>
    <s v="HR Expense - East"/>
    <n v="-7784.25"/>
    <m/>
  </r>
  <r>
    <x v="154"/>
    <n v="1"/>
    <n v="2025"/>
    <n v="1"/>
    <s v="HR"/>
    <x v="1"/>
    <x v="2"/>
    <s v="HR Revenue - North"/>
    <n v="3853.32"/>
    <n v="3671.14"/>
  </r>
  <r>
    <x v="154"/>
    <n v="1"/>
    <n v="2025"/>
    <n v="1"/>
    <s v="Services"/>
    <x v="0"/>
    <x v="3"/>
    <s v="Services Expense - South"/>
    <n v="-18525.939999999999"/>
    <m/>
  </r>
  <r>
    <x v="154"/>
    <n v="1"/>
    <n v="2025"/>
    <n v="1"/>
    <s v="Subscriptions"/>
    <x v="0"/>
    <x v="3"/>
    <s v="Subscriptions Expense - South"/>
    <n v="-31410.29"/>
    <m/>
  </r>
  <r>
    <x v="155"/>
    <n v="1"/>
    <n v="2025"/>
    <n v="1"/>
    <s v="Sales"/>
    <x v="0"/>
    <x v="1"/>
    <s v="Sales Expense - West"/>
    <n v="-10401.15"/>
    <m/>
  </r>
  <r>
    <x v="155"/>
    <n v="1"/>
    <n v="2025"/>
    <n v="1"/>
    <s v="HR"/>
    <x v="0"/>
    <x v="1"/>
    <s v="HR Expense - West"/>
    <n v="-3280.95"/>
    <m/>
  </r>
  <r>
    <x v="156"/>
    <n v="1"/>
    <n v="2025"/>
    <n v="1"/>
    <s v="Operations"/>
    <x v="0"/>
    <x v="0"/>
    <s v="Operations Expense - East"/>
    <n v="-15665.85"/>
    <m/>
  </r>
  <r>
    <x v="156"/>
    <n v="1"/>
    <n v="2025"/>
    <n v="1"/>
    <s v="Marketing"/>
    <x v="0"/>
    <x v="3"/>
    <s v="Marketing Expense - South"/>
    <n v="-12277.89"/>
    <m/>
  </r>
  <r>
    <x v="157"/>
    <n v="1"/>
    <n v="2025"/>
    <n v="1"/>
    <s v="R&amp;D"/>
    <x v="0"/>
    <x v="0"/>
    <s v="R&amp;D Expense - East"/>
    <n v="-15492.73"/>
    <m/>
  </r>
  <r>
    <x v="157"/>
    <n v="1"/>
    <n v="2025"/>
    <n v="1"/>
    <s v="HR"/>
    <x v="1"/>
    <x v="1"/>
    <s v="HR Revenue - West"/>
    <n v="5372.22"/>
    <n v="5172.68"/>
  </r>
  <r>
    <x v="158"/>
    <n v="1"/>
    <n v="2025"/>
    <n v="1"/>
    <s v="Marketing"/>
    <x v="1"/>
    <x v="1"/>
    <s v="Marketing Revenue - West"/>
    <n v="8812.2800000000007"/>
    <n v="9327.33"/>
  </r>
  <r>
    <x v="159"/>
    <n v="1"/>
    <n v="2025"/>
    <n v="1"/>
    <s v="G&amp;A"/>
    <x v="0"/>
    <x v="1"/>
    <s v="G&amp;A Expense - West"/>
    <n v="-6553.24"/>
    <m/>
  </r>
  <r>
    <x v="159"/>
    <n v="1"/>
    <n v="2025"/>
    <n v="1"/>
    <s v="Marketing"/>
    <x v="1"/>
    <x v="2"/>
    <s v="Marketing Revenue - North"/>
    <n v="9341.1200000000008"/>
    <n v="10266.26"/>
  </r>
  <r>
    <x v="159"/>
    <n v="1"/>
    <n v="2025"/>
    <n v="1"/>
    <s v="Subscriptions"/>
    <x v="1"/>
    <x v="3"/>
    <s v="Subscriptions Revenue - South"/>
    <n v="21860.880000000001"/>
    <n v="23472.43"/>
  </r>
  <r>
    <x v="160"/>
    <n v="2"/>
    <n v="2025"/>
    <n v="1"/>
    <s v="HR"/>
    <x v="1"/>
    <x v="1"/>
    <s v="HR Revenue - West"/>
    <n v="4717.68"/>
    <n v="5025.0600000000004"/>
  </r>
  <r>
    <x v="161"/>
    <n v="2"/>
    <n v="2025"/>
    <n v="1"/>
    <s v="G&amp;A"/>
    <x v="1"/>
    <x v="1"/>
    <s v="G&amp;A Revenue - West"/>
    <n v="5916.61"/>
    <n v="5531.26"/>
  </r>
  <r>
    <x v="161"/>
    <n v="2"/>
    <n v="2025"/>
    <n v="1"/>
    <s v="Sales"/>
    <x v="0"/>
    <x v="2"/>
    <s v="Sales Expense - North"/>
    <n v="-32745.45"/>
    <m/>
  </r>
  <r>
    <x v="161"/>
    <n v="2"/>
    <n v="2025"/>
    <n v="1"/>
    <s v="HR"/>
    <x v="1"/>
    <x v="2"/>
    <s v="HR Revenue - North"/>
    <n v="4650.72"/>
    <n v="4648.78"/>
  </r>
  <r>
    <x v="162"/>
    <n v="2"/>
    <n v="2025"/>
    <n v="1"/>
    <s v="Operations"/>
    <x v="1"/>
    <x v="2"/>
    <s v="Operations Revenue - North"/>
    <n v="17607.46"/>
    <n v="17105.580000000002"/>
  </r>
  <r>
    <x v="162"/>
    <n v="2"/>
    <n v="2025"/>
    <n v="1"/>
    <s v="G&amp;A"/>
    <x v="0"/>
    <x v="3"/>
    <s v="G&amp;A Expense - South"/>
    <n v="-2995.23"/>
    <m/>
  </r>
  <r>
    <x v="163"/>
    <n v="2"/>
    <n v="2025"/>
    <n v="1"/>
    <s v="HR"/>
    <x v="0"/>
    <x v="0"/>
    <s v="HR Expense - East"/>
    <n v="-2115.89"/>
    <m/>
  </r>
  <r>
    <x v="163"/>
    <n v="2"/>
    <n v="2025"/>
    <n v="1"/>
    <s v="Services"/>
    <x v="1"/>
    <x v="1"/>
    <s v="Services Revenue - West"/>
    <n v="23664.5"/>
    <n v="25135.96"/>
  </r>
  <r>
    <x v="163"/>
    <n v="2"/>
    <n v="2025"/>
    <n v="1"/>
    <s v="Services"/>
    <x v="0"/>
    <x v="1"/>
    <s v="Services Expense - West"/>
    <n v="-24928.93"/>
    <m/>
  </r>
  <r>
    <x v="164"/>
    <n v="2"/>
    <n v="2025"/>
    <n v="1"/>
    <s v="G&amp;A"/>
    <x v="1"/>
    <x v="0"/>
    <s v="G&amp;A Revenue - East"/>
    <n v="6365.59"/>
    <n v="6131.44"/>
  </r>
  <r>
    <x v="165"/>
    <n v="2"/>
    <n v="2025"/>
    <n v="1"/>
    <s v="Sales"/>
    <x v="1"/>
    <x v="0"/>
    <s v="Sales Revenue - East"/>
    <n v="23706.16"/>
    <n v="24512.74"/>
  </r>
  <r>
    <x v="165"/>
    <n v="2"/>
    <n v="2025"/>
    <n v="1"/>
    <s v="Marketing"/>
    <x v="0"/>
    <x v="0"/>
    <s v="Marketing Expense - East"/>
    <n v="-6031.39"/>
    <m/>
  </r>
  <r>
    <x v="165"/>
    <n v="2"/>
    <n v="2025"/>
    <n v="1"/>
    <s v="Services"/>
    <x v="0"/>
    <x v="3"/>
    <s v="Services Expense - South"/>
    <n v="-12025.2"/>
    <m/>
  </r>
  <r>
    <x v="166"/>
    <n v="2"/>
    <n v="2025"/>
    <n v="1"/>
    <s v="Operations"/>
    <x v="0"/>
    <x v="0"/>
    <s v="Operations Expense - East"/>
    <n v="-16641.439999999999"/>
    <m/>
  </r>
  <r>
    <x v="166"/>
    <n v="2"/>
    <n v="2025"/>
    <n v="1"/>
    <s v="HR"/>
    <x v="0"/>
    <x v="1"/>
    <s v="HR Expense - West"/>
    <n v="-6765.52"/>
    <m/>
  </r>
  <r>
    <x v="167"/>
    <n v="2"/>
    <n v="2025"/>
    <n v="1"/>
    <s v="HR"/>
    <x v="1"/>
    <x v="3"/>
    <s v="HR Revenue - South"/>
    <n v="3937.35"/>
    <n v="3906.58"/>
  </r>
  <r>
    <x v="168"/>
    <n v="2"/>
    <n v="2025"/>
    <n v="1"/>
    <s v="Services"/>
    <x v="1"/>
    <x v="0"/>
    <s v="Services Revenue - East"/>
    <n v="23562.68"/>
    <n v="25300.26"/>
  </r>
  <r>
    <x v="168"/>
    <n v="2"/>
    <n v="2025"/>
    <n v="1"/>
    <s v="Subscriptions"/>
    <x v="1"/>
    <x v="2"/>
    <s v="Subscriptions Revenue - North"/>
    <n v="19290.48"/>
    <n v="19453.71"/>
  </r>
  <r>
    <x v="168"/>
    <n v="2"/>
    <n v="2025"/>
    <n v="1"/>
    <s v="G&amp;A"/>
    <x v="0"/>
    <x v="2"/>
    <s v="G&amp;A Expense - North"/>
    <n v="-5272.46"/>
    <m/>
  </r>
  <r>
    <x v="168"/>
    <n v="2"/>
    <n v="2025"/>
    <n v="1"/>
    <s v="R&amp;D"/>
    <x v="1"/>
    <x v="3"/>
    <s v="R&amp;D Revenue - South"/>
    <n v="10732.32"/>
    <n v="11156.79"/>
  </r>
  <r>
    <x v="169"/>
    <n v="2"/>
    <n v="2025"/>
    <n v="1"/>
    <s v="Subscriptions"/>
    <x v="1"/>
    <x v="1"/>
    <s v="Subscriptions Revenue - West"/>
    <n v="26321.919999999998"/>
    <n v="24749.119999999999"/>
  </r>
  <r>
    <x v="169"/>
    <n v="2"/>
    <n v="2025"/>
    <n v="1"/>
    <s v="Services"/>
    <x v="1"/>
    <x v="3"/>
    <s v="Services Revenue - South"/>
    <n v="17130.990000000002"/>
    <n v="17394.84"/>
  </r>
  <r>
    <x v="169"/>
    <n v="2"/>
    <n v="2025"/>
    <n v="1"/>
    <s v="Subscriptions"/>
    <x v="1"/>
    <x v="3"/>
    <s v="Subscriptions Revenue - South"/>
    <n v="20105.990000000002"/>
    <n v="18767.009999999998"/>
  </r>
  <r>
    <x v="169"/>
    <n v="2"/>
    <n v="2025"/>
    <n v="1"/>
    <s v="Operations"/>
    <x v="1"/>
    <x v="3"/>
    <s v="Operations Revenue - South"/>
    <n v="14671.14"/>
    <n v="16042.7"/>
  </r>
  <r>
    <x v="170"/>
    <n v="2"/>
    <n v="2025"/>
    <n v="1"/>
    <s v="Marketing"/>
    <x v="1"/>
    <x v="0"/>
    <s v="Marketing Revenue - East"/>
    <n v="10346.219999999999"/>
    <n v="10437.540000000001"/>
  </r>
  <r>
    <x v="170"/>
    <n v="2"/>
    <n v="2025"/>
    <n v="1"/>
    <s v="R&amp;D"/>
    <x v="0"/>
    <x v="0"/>
    <s v="R&amp;D Expense - East"/>
    <n v="-6654.21"/>
    <m/>
  </r>
  <r>
    <x v="170"/>
    <n v="2"/>
    <n v="2025"/>
    <n v="1"/>
    <s v="R&amp;D"/>
    <x v="1"/>
    <x v="1"/>
    <s v="R&amp;D Revenue - West"/>
    <n v="12550.72"/>
    <n v="12014.89"/>
  </r>
  <r>
    <x v="170"/>
    <n v="2"/>
    <n v="2025"/>
    <n v="1"/>
    <s v="Sales"/>
    <x v="1"/>
    <x v="2"/>
    <s v="Sales Revenue - North"/>
    <n v="27509.56"/>
    <n v="30121.95"/>
  </r>
  <r>
    <x v="170"/>
    <n v="2"/>
    <n v="2025"/>
    <n v="1"/>
    <s v="Subscriptions"/>
    <x v="0"/>
    <x v="2"/>
    <s v="Subscriptions Expense - North"/>
    <n v="-14430.81"/>
    <m/>
  </r>
  <r>
    <x v="170"/>
    <n v="2"/>
    <n v="2025"/>
    <n v="1"/>
    <s v="R&amp;D"/>
    <x v="0"/>
    <x v="3"/>
    <s v="R&amp;D Expense - South"/>
    <n v="-5480.85"/>
    <m/>
  </r>
  <r>
    <x v="171"/>
    <n v="2"/>
    <n v="2025"/>
    <n v="1"/>
    <s v="Sales"/>
    <x v="1"/>
    <x v="1"/>
    <s v="Sales Revenue - West"/>
    <n v="22384.41"/>
    <n v="21339.93"/>
  </r>
  <r>
    <x v="171"/>
    <n v="2"/>
    <n v="2025"/>
    <n v="1"/>
    <s v="Sales"/>
    <x v="0"/>
    <x v="1"/>
    <s v="Sales Expense - West"/>
    <n v="-7548.74"/>
    <m/>
  </r>
  <r>
    <x v="171"/>
    <n v="2"/>
    <n v="2025"/>
    <n v="1"/>
    <s v="Operations"/>
    <x v="1"/>
    <x v="1"/>
    <s v="Operations Revenue - West"/>
    <n v="18600.61"/>
    <n v="17586.39"/>
  </r>
  <r>
    <x v="171"/>
    <n v="2"/>
    <n v="2025"/>
    <n v="1"/>
    <s v="R&amp;D"/>
    <x v="0"/>
    <x v="1"/>
    <s v="R&amp;D Expense - West"/>
    <n v="-13988.23"/>
    <m/>
  </r>
  <r>
    <x v="171"/>
    <n v="2"/>
    <n v="2025"/>
    <n v="1"/>
    <s v="Services"/>
    <x v="1"/>
    <x v="2"/>
    <s v="Services Revenue - North"/>
    <n v="20548.099999999999"/>
    <n v="19144.849999999999"/>
  </r>
  <r>
    <x v="172"/>
    <n v="2"/>
    <n v="2025"/>
    <n v="1"/>
    <s v="HR"/>
    <x v="0"/>
    <x v="3"/>
    <s v="HR Expense - South"/>
    <n v="-1969.18"/>
    <m/>
  </r>
  <r>
    <x v="172"/>
    <n v="2"/>
    <n v="2025"/>
    <n v="1"/>
    <s v="G&amp;A"/>
    <x v="1"/>
    <x v="3"/>
    <s v="G&amp;A Revenue - South"/>
    <n v="4528.47"/>
    <n v="4457.4799999999996"/>
  </r>
  <r>
    <x v="173"/>
    <n v="2"/>
    <n v="2025"/>
    <n v="1"/>
    <s v="Subscriptions"/>
    <x v="1"/>
    <x v="0"/>
    <s v="Subscriptions Revenue - East"/>
    <n v="28670.23"/>
    <n v="29945.15"/>
  </r>
  <r>
    <x v="173"/>
    <n v="2"/>
    <n v="2025"/>
    <n v="1"/>
    <s v="HR"/>
    <x v="1"/>
    <x v="0"/>
    <s v="HR Revenue - East"/>
    <n v="3994.12"/>
    <n v="4062.32"/>
  </r>
  <r>
    <x v="173"/>
    <n v="2"/>
    <n v="2025"/>
    <n v="1"/>
    <s v="Marketing"/>
    <x v="1"/>
    <x v="2"/>
    <s v="Marketing Revenue - North"/>
    <n v="8152.26"/>
    <n v="8586.0300000000007"/>
  </r>
  <r>
    <x v="174"/>
    <n v="2"/>
    <n v="2025"/>
    <n v="1"/>
    <s v="Sales"/>
    <x v="0"/>
    <x v="0"/>
    <s v="Sales Expense - East"/>
    <n v="-28878.55"/>
    <m/>
  </r>
  <r>
    <x v="174"/>
    <n v="2"/>
    <n v="2025"/>
    <n v="1"/>
    <s v="R&amp;D"/>
    <x v="0"/>
    <x v="2"/>
    <s v="R&amp;D Expense - North"/>
    <n v="-6701.93"/>
    <m/>
  </r>
  <r>
    <x v="174"/>
    <n v="2"/>
    <n v="2025"/>
    <n v="1"/>
    <s v="Marketing"/>
    <x v="1"/>
    <x v="3"/>
    <s v="Marketing Revenue - South"/>
    <n v="8223.27"/>
    <n v="8597.7000000000007"/>
  </r>
  <r>
    <x v="175"/>
    <n v="2"/>
    <n v="2025"/>
    <n v="1"/>
    <s v="Services"/>
    <x v="0"/>
    <x v="0"/>
    <s v="Services Expense - East"/>
    <n v="-27821.119999999999"/>
    <m/>
  </r>
  <r>
    <x v="175"/>
    <n v="2"/>
    <n v="2025"/>
    <n v="1"/>
    <s v="Operations"/>
    <x v="1"/>
    <x v="0"/>
    <s v="Operations Revenue - East"/>
    <n v="13906.76"/>
    <n v="13318.58"/>
  </r>
  <r>
    <x v="175"/>
    <n v="2"/>
    <n v="2025"/>
    <n v="1"/>
    <s v="Sales"/>
    <x v="1"/>
    <x v="3"/>
    <s v="Sales Revenue - South"/>
    <n v="21469.34"/>
    <n v="23420.84"/>
  </r>
  <r>
    <x v="176"/>
    <n v="2"/>
    <n v="2025"/>
    <n v="1"/>
    <s v="Subscriptions"/>
    <x v="0"/>
    <x v="0"/>
    <s v="Subscriptions Expense - East"/>
    <n v="-16763.23"/>
    <m/>
  </r>
  <r>
    <x v="176"/>
    <n v="2"/>
    <n v="2025"/>
    <n v="1"/>
    <s v="G&amp;A"/>
    <x v="1"/>
    <x v="2"/>
    <s v="G&amp;A Revenue - North"/>
    <n v="4299.47"/>
    <n v="4718.84"/>
  </r>
  <r>
    <x v="177"/>
    <n v="2"/>
    <n v="2025"/>
    <n v="1"/>
    <s v="R&amp;D"/>
    <x v="1"/>
    <x v="0"/>
    <s v="R&amp;D Revenue - East"/>
    <n v="9640.39"/>
    <n v="9797.2999999999993"/>
  </r>
  <r>
    <x v="178"/>
    <n v="2"/>
    <n v="2025"/>
    <n v="1"/>
    <s v="G&amp;A"/>
    <x v="0"/>
    <x v="1"/>
    <s v="G&amp;A Expense - West"/>
    <n v="-3723.69"/>
    <m/>
  </r>
  <r>
    <x v="178"/>
    <n v="2"/>
    <n v="2025"/>
    <n v="1"/>
    <s v="Sales"/>
    <x v="0"/>
    <x v="3"/>
    <s v="Sales Expense - South"/>
    <n v="-10829.88"/>
    <m/>
  </r>
  <r>
    <x v="179"/>
    <n v="2"/>
    <n v="2025"/>
    <n v="1"/>
    <s v="Operations"/>
    <x v="0"/>
    <x v="1"/>
    <s v="Operations Expense - West"/>
    <n v="-12501.37"/>
    <m/>
  </r>
  <r>
    <x v="180"/>
    <n v="2"/>
    <n v="2025"/>
    <n v="1"/>
    <s v="G&amp;A"/>
    <x v="0"/>
    <x v="0"/>
    <s v="G&amp;A Expense - East"/>
    <n v="-8686.58"/>
    <m/>
  </r>
  <r>
    <x v="180"/>
    <n v="2"/>
    <n v="2025"/>
    <n v="1"/>
    <s v="HR"/>
    <x v="0"/>
    <x v="2"/>
    <s v="HR Expense - North"/>
    <n v="-3646.17"/>
    <m/>
  </r>
  <r>
    <x v="180"/>
    <n v="2"/>
    <n v="2025"/>
    <n v="1"/>
    <s v="R&amp;D"/>
    <x v="1"/>
    <x v="2"/>
    <s v="R&amp;D Revenue - North"/>
    <n v="12180.84"/>
    <n v="13117.26"/>
  </r>
  <r>
    <x v="181"/>
    <n v="2"/>
    <n v="2025"/>
    <n v="1"/>
    <s v="Marketing"/>
    <x v="1"/>
    <x v="1"/>
    <s v="Marketing Revenue - West"/>
    <n v="8876.11"/>
    <n v="9290.0499999999993"/>
  </r>
  <r>
    <x v="181"/>
    <n v="2"/>
    <n v="2025"/>
    <n v="1"/>
    <s v="Operations"/>
    <x v="0"/>
    <x v="3"/>
    <s v="Operations Expense - South"/>
    <n v="-9786.4"/>
    <m/>
  </r>
  <r>
    <x v="182"/>
    <n v="2"/>
    <n v="2025"/>
    <n v="1"/>
    <s v="Marketing"/>
    <x v="0"/>
    <x v="2"/>
    <s v="Marketing Expense - North"/>
    <n v="-10256.01"/>
    <m/>
  </r>
  <r>
    <x v="183"/>
    <n v="2"/>
    <n v="2025"/>
    <n v="1"/>
    <s v="Marketing"/>
    <x v="0"/>
    <x v="3"/>
    <s v="Marketing Expense - South"/>
    <n v="-11541.61"/>
    <m/>
  </r>
  <r>
    <x v="184"/>
    <n v="2"/>
    <n v="2025"/>
    <n v="1"/>
    <s v="Subscriptions"/>
    <x v="0"/>
    <x v="1"/>
    <s v="Subscriptions Expense - West"/>
    <n v="-9011.56"/>
    <m/>
  </r>
  <r>
    <x v="184"/>
    <n v="2"/>
    <n v="2025"/>
    <n v="1"/>
    <s v="Marketing"/>
    <x v="0"/>
    <x v="1"/>
    <s v="Marketing Expense - West"/>
    <n v="-13566.929999999998"/>
    <m/>
  </r>
  <r>
    <x v="184"/>
    <n v="2"/>
    <n v="2025"/>
    <n v="1"/>
    <s v="Operations"/>
    <x v="0"/>
    <x v="2"/>
    <s v="Operations Expense - North"/>
    <n v="-15697.5"/>
    <m/>
  </r>
  <r>
    <x v="184"/>
    <n v="2"/>
    <n v="2025"/>
    <n v="1"/>
    <s v="Subscriptions"/>
    <x v="0"/>
    <x v="3"/>
    <s v="Subscriptions Expense - South"/>
    <n v="-9834.7800000000007"/>
    <m/>
  </r>
  <r>
    <x v="185"/>
    <n v="2"/>
    <n v="2025"/>
    <n v="1"/>
    <s v="Services"/>
    <x v="0"/>
    <x v="2"/>
    <s v="Services Expense - North"/>
    <n v="-30233.16"/>
    <m/>
  </r>
  <r>
    <x v="186"/>
    <n v="3"/>
    <n v="2025"/>
    <n v="1"/>
    <s v="Subscriptions"/>
    <x v="1"/>
    <x v="2"/>
    <s v="Subscriptions Revenue - North"/>
    <n v="21252.02"/>
    <n v="23086.34"/>
  </r>
  <r>
    <x v="187"/>
    <n v="3"/>
    <n v="2025"/>
    <n v="1"/>
    <s v="R&amp;D"/>
    <x v="1"/>
    <x v="0"/>
    <s v="R&amp;D Revenue - East"/>
    <n v="10909.79"/>
    <n v="11563.25"/>
  </r>
  <r>
    <x v="187"/>
    <n v="3"/>
    <n v="2025"/>
    <n v="1"/>
    <s v="HR"/>
    <x v="0"/>
    <x v="1"/>
    <s v="HR Expense - West"/>
    <n v="-4386.3"/>
    <m/>
  </r>
  <r>
    <x v="187"/>
    <n v="3"/>
    <n v="2025"/>
    <n v="1"/>
    <s v="Marketing"/>
    <x v="0"/>
    <x v="3"/>
    <s v="Marketing Expense - South"/>
    <n v="-12505.06"/>
    <m/>
  </r>
  <r>
    <x v="188"/>
    <n v="3"/>
    <n v="2025"/>
    <n v="1"/>
    <s v="G&amp;A"/>
    <x v="1"/>
    <x v="1"/>
    <s v="G&amp;A Revenue - West"/>
    <n v="5879.02"/>
    <n v="5739.91"/>
  </r>
  <r>
    <x v="188"/>
    <n v="3"/>
    <n v="2025"/>
    <n v="1"/>
    <s v="Subscriptions"/>
    <x v="0"/>
    <x v="2"/>
    <s v="Subscriptions Expense - North"/>
    <n v="-28077.18"/>
    <m/>
  </r>
  <r>
    <x v="188"/>
    <n v="3"/>
    <n v="2025"/>
    <n v="1"/>
    <s v="R&amp;D"/>
    <x v="1"/>
    <x v="2"/>
    <s v="R&amp;D Revenue - North"/>
    <n v="13212.39"/>
    <n v="14103.84"/>
  </r>
  <r>
    <x v="188"/>
    <n v="3"/>
    <n v="2025"/>
    <n v="1"/>
    <s v="R&amp;D"/>
    <x v="0"/>
    <x v="3"/>
    <s v="R&amp;D Expense - South"/>
    <n v="-9859.58"/>
    <m/>
  </r>
  <r>
    <x v="189"/>
    <n v="3"/>
    <n v="2025"/>
    <n v="1"/>
    <s v="Sales"/>
    <x v="1"/>
    <x v="0"/>
    <s v="Sales Revenue - East"/>
    <n v="24794.400000000001"/>
    <n v="24800.31"/>
  </r>
  <r>
    <x v="189"/>
    <n v="3"/>
    <n v="2025"/>
    <n v="1"/>
    <s v="Operations"/>
    <x v="0"/>
    <x v="0"/>
    <s v="Operations Expense - East"/>
    <n v="-12442.34"/>
    <m/>
  </r>
  <r>
    <x v="189"/>
    <n v="3"/>
    <n v="2025"/>
    <n v="1"/>
    <s v="G&amp;A"/>
    <x v="0"/>
    <x v="0"/>
    <s v="G&amp;A Expense - East"/>
    <n v="-7929.18"/>
    <m/>
  </r>
  <r>
    <x v="190"/>
    <n v="3"/>
    <n v="2025"/>
    <n v="1"/>
    <s v="G&amp;A"/>
    <x v="1"/>
    <x v="3"/>
    <s v="G&amp;A Revenue - South"/>
    <n v="6358.98"/>
    <n v="6377.26"/>
  </r>
  <r>
    <x v="191"/>
    <n v="3"/>
    <n v="2025"/>
    <n v="1"/>
    <s v="R&amp;D"/>
    <x v="0"/>
    <x v="2"/>
    <s v="R&amp;D Expense - North"/>
    <n v="-10188.1"/>
    <m/>
  </r>
  <r>
    <x v="192"/>
    <n v="3"/>
    <n v="2025"/>
    <n v="1"/>
    <s v="Subscriptions"/>
    <x v="0"/>
    <x v="3"/>
    <s v="Subscriptions Expense - South"/>
    <n v="-7651"/>
    <m/>
  </r>
  <r>
    <x v="193"/>
    <n v="3"/>
    <n v="2025"/>
    <n v="1"/>
    <s v="Operations"/>
    <x v="0"/>
    <x v="1"/>
    <s v="Operations Expense - West"/>
    <n v="-12960.83"/>
    <m/>
  </r>
  <r>
    <x v="193"/>
    <n v="3"/>
    <n v="2025"/>
    <n v="1"/>
    <s v="Operations"/>
    <x v="1"/>
    <x v="2"/>
    <s v="Operations Revenue - North"/>
    <n v="18780.439999999999"/>
    <n v="19806.73"/>
  </r>
  <r>
    <x v="193"/>
    <n v="3"/>
    <n v="2025"/>
    <n v="1"/>
    <s v="Sales"/>
    <x v="0"/>
    <x v="3"/>
    <s v="Sales Expense - South"/>
    <n v="-27683.93"/>
    <m/>
  </r>
  <r>
    <x v="194"/>
    <n v="3"/>
    <n v="2025"/>
    <n v="1"/>
    <s v="Marketing"/>
    <x v="1"/>
    <x v="1"/>
    <s v="Marketing Revenue - West"/>
    <n v="7749.37"/>
    <n v="8515.94"/>
  </r>
  <r>
    <x v="194"/>
    <n v="3"/>
    <n v="2025"/>
    <n v="1"/>
    <s v="Subscriptions"/>
    <x v="1"/>
    <x v="3"/>
    <s v="Subscriptions Revenue - South"/>
    <n v="19047"/>
    <n v="19389.93"/>
  </r>
  <r>
    <x v="195"/>
    <n v="3"/>
    <n v="2025"/>
    <n v="1"/>
    <s v="G&amp;A"/>
    <x v="1"/>
    <x v="0"/>
    <s v="G&amp;A Revenue - East"/>
    <n v="7411.2"/>
    <n v="8118.35"/>
  </r>
  <r>
    <x v="195"/>
    <n v="3"/>
    <n v="2025"/>
    <n v="1"/>
    <s v="HR"/>
    <x v="0"/>
    <x v="3"/>
    <s v="HR Expense - South"/>
    <n v="-6688.22"/>
    <m/>
  </r>
  <r>
    <x v="196"/>
    <n v="3"/>
    <n v="2025"/>
    <n v="1"/>
    <s v="Sales"/>
    <x v="0"/>
    <x v="2"/>
    <s v="Sales Expense - North"/>
    <n v="-12415.77"/>
    <m/>
  </r>
  <r>
    <x v="197"/>
    <n v="3"/>
    <n v="2025"/>
    <n v="1"/>
    <s v="Marketing"/>
    <x v="0"/>
    <x v="1"/>
    <s v="Marketing Expense - West"/>
    <n v="-4708.74"/>
    <m/>
  </r>
  <r>
    <x v="197"/>
    <n v="3"/>
    <n v="2025"/>
    <n v="1"/>
    <s v="R&amp;D"/>
    <x v="1"/>
    <x v="3"/>
    <s v="R&amp;D Revenue - South"/>
    <n v="8748.32"/>
    <n v="9372.2900000000009"/>
  </r>
  <r>
    <x v="198"/>
    <n v="3"/>
    <n v="2025"/>
    <n v="1"/>
    <s v="Marketing"/>
    <x v="0"/>
    <x v="0"/>
    <s v="Marketing Expense - East"/>
    <n v="-5305.94"/>
    <m/>
  </r>
  <r>
    <x v="198"/>
    <n v="3"/>
    <n v="2025"/>
    <n v="1"/>
    <s v="Marketing"/>
    <x v="0"/>
    <x v="2"/>
    <s v="Marketing Expense - North"/>
    <n v="-10468"/>
    <m/>
  </r>
  <r>
    <x v="199"/>
    <n v="3"/>
    <n v="2025"/>
    <n v="1"/>
    <s v="G&amp;A"/>
    <x v="0"/>
    <x v="1"/>
    <s v="G&amp;A Expense - West"/>
    <n v="-4166.78"/>
    <m/>
  </r>
  <r>
    <x v="199"/>
    <n v="3"/>
    <n v="2025"/>
    <n v="1"/>
    <s v="Sales"/>
    <x v="1"/>
    <x v="2"/>
    <s v="Sales Revenue - North"/>
    <n v="24070.63"/>
    <n v="22865.7"/>
  </r>
  <r>
    <x v="199"/>
    <n v="3"/>
    <n v="2025"/>
    <n v="1"/>
    <s v="HR"/>
    <x v="0"/>
    <x v="2"/>
    <s v="HR Expense - North"/>
    <n v="-5412.91"/>
    <m/>
  </r>
  <r>
    <x v="199"/>
    <n v="3"/>
    <n v="2025"/>
    <n v="1"/>
    <s v="Services"/>
    <x v="1"/>
    <x v="3"/>
    <s v="Services Revenue - South"/>
    <n v="19799.02"/>
    <n v="20690.330000000002"/>
  </r>
  <r>
    <x v="199"/>
    <n v="3"/>
    <n v="2025"/>
    <n v="1"/>
    <s v="HR"/>
    <x v="1"/>
    <x v="3"/>
    <s v="HR Revenue - South"/>
    <n v="4999.66"/>
    <n v="4882.07"/>
  </r>
  <r>
    <x v="200"/>
    <n v="3"/>
    <n v="2025"/>
    <n v="1"/>
    <s v="Marketing"/>
    <x v="1"/>
    <x v="2"/>
    <s v="Marketing Revenue - North"/>
    <n v="7059.47"/>
    <n v="6973.86"/>
  </r>
  <r>
    <x v="200"/>
    <n v="3"/>
    <n v="2025"/>
    <n v="1"/>
    <s v="G&amp;A"/>
    <x v="1"/>
    <x v="2"/>
    <s v="G&amp;A Revenue - North"/>
    <n v="5289.76"/>
    <n v="4926.34"/>
  </r>
  <r>
    <x v="200"/>
    <n v="3"/>
    <n v="2025"/>
    <n v="1"/>
    <s v="G&amp;A"/>
    <x v="0"/>
    <x v="2"/>
    <s v="G&amp;A Expense - North"/>
    <n v="-2615.4899999999998"/>
    <m/>
  </r>
  <r>
    <x v="200"/>
    <n v="3"/>
    <n v="2025"/>
    <n v="1"/>
    <s v="Operations"/>
    <x v="1"/>
    <x v="3"/>
    <s v="Operations Revenue - South"/>
    <n v="14216.98"/>
    <n v="14672.83"/>
  </r>
  <r>
    <x v="201"/>
    <n v="3"/>
    <n v="2025"/>
    <n v="1"/>
    <s v="Subscriptions"/>
    <x v="0"/>
    <x v="0"/>
    <s v="Subscriptions Expense - East"/>
    <n v="-35973.14"/>
    <m/>
  </r>
  <r>
    <x v="201"/>
    <n v="3"/>
    <n v="2025"/>
    <n v="1"/>
    <s v="Marketing"/>
    <x v="1"/>
    <x v="0"/>
    <s v="Marketing Revenue - East"/>
    <n v="9443.1"/>
    <n v="9465.2999999999993"/>
  </r>
  <r>
    <x v="201"/>
    <n v="3"/>
    <n v="2025"/>
    <n v="1"/>
    <s v="HR"/>
    <x v="0"/>
    <x v="0"/>
    <s v="HR Expense - East"/>
    <n v="-8690.7099999999991"/>
    <m/>
  </r>
  <r>
    <x v="201"/>
    <n v="3"/>
    <n v="2025"/>
    <n v="1"/>
    <s v="R&amp;D"/>
    <x v="0"/>
    <x v="0"/>
    <s v="R&amp;D Expense - East"/>
    <n v="-16746.689999999999"/>
    <m/>
  </r>
  <r>
    <x v="201"/>
    <n v="3"/>
    <n v="2025"/>
    <n v="1"/>
    <s v="Sales"/>
    <x v="1"/>
    <x v="3"/>
    <s v="Sales Revenue - South"/>
    <n v="26016.06"/>
    <n v="27219.99"/>
  </r>
  <r>
    <x v="202"/>
    <n v="3"/>
    <n v="2025"/>
    <n v="1"/>
    <s v="Services"/>
    <x v="0"/>
    <x v="0"/>
    <s v="Services Expense - East"/>
    <n v="-8419.49"/>
    <m/>
  </r>
  <r>
    <x v="202"/>
    <n v="3"/>
    <n v="2025"/>
    <n v="1"/>
    <s v="Marketing"/>
    <x v="1"/>
    <x v="3"/>
    <s v="Marketing Revenue - South"/>
    <n v="8356.92"/>
    <n v="8205.35"/>
  </r>
  <r>
    <x v="203"/>
    <n v="3"/>
    <n v="2025"/>
    <n v="1"/>
    <s v="Subscriptions"/>
    <x v="0"/>
    <x v="1"/>
    <s v="Subscriptions Expense - West"/>
    <n v="-31027.34"/>
    <m/>
  </r>
  <r>
    <x v="203"/>
    <n v="3"/>
    <n v="2025"/>
    <n v="1"/>
    <s v="R&amp;D"/>
    <x v="0"/>
    <x v="1"/>
    <s v="R&amp;D Expense - West"/>
    <n v="-6247.06"/>
    <m/>
  </r>
  <r>
    <x v="203"/>
    <n v="3"/>
    <n v="2025"/>
    <n v="1"/>
    <s v="Services"/>
    <x v="1"/>
    <x v="2"/>
    <s v="Services Revenue - North"/>
    <n v="21955.98"/>
    <n v="22893.19"/>
  </r>
  <r>
    <x v="204"/>
    <n v="3"/>
    <n v="2025"/>
    <n v="1"/>
    <s v="Operations"/>
    <x v="1"/>
    <x v="1"/>
    <s v="Operations Revenue - West"/>
    <n v="14674"/>
    <n v="14457.89"/>
  </r>
  <r>
    <x v="205"/>
    <n v="3"/>
    <n v="2025"/>
    <n v="1"/>
    <s v="Services"/>
    <x v="0"/>
    <x v="2"/>
    <s v="Services Expense - North"/>
    <n v="-8746.75"/>
    <m/>
  </r>
  <r>
    <x v="205"/>
    <n v="3"/>
    <n v="2025"/>
    <n v="1"/>
    <s v="Operations"/>
    <x v="0"/>
    <x v="2"/>
    <s v="Operations Expense - North"/>
    <n v="-28812.3"/>
    <m/>
  </r>
  <r>
    <x v="206"/>
    <n v="3"/>
    <n v="2025"/>
    <n v="1"/>
    <s v="Subscriptions"/>
    <x v="1"/>
    <x v="0"/>
    <s v="Subscriptions Revenue - East"/>
    <n v="24490.5"/>
    <n v="26607.3"/>
  </r>
  <r>
    <x v="206"/>
    <n v="3"/>
    <n v="2025"/>
    <n v="1"/>
    <s v="Operations"/>
    <x v="1"/>
    <x v="0"/>
    <s v="Operations Revenue - East"/>
    <n v="14574.21"/>
    <n v="14210.3"/>
  </r>
  <r>
    <x v="206"/>
    <n v="3"/>
    <n v="2025"/>
    <n v="1"/>
    <s v="Sales"/>
    <x v="0"/>
    <x v="1"/>
    <s v="Sales Expense - West"/>
    <n v="-26070.73"/>
    <m/>
  </r>
  <r>
    <x v="206"/>
    <n v="3"/>
    <n v="2025"/>
    <n v="1"/>
    <s v="Services"/>
    <x v="0"/>
    <x v="3"/>
    <s v="Services Expense - South"/>
    <n v="-14632.54"/>
    <m/>
  </r>
  <r>
    <x v="207"/>
    <n v="3"/>
    <n v="2025"/>
    <n v="1"/>
    <s v="Subscriptions"/>
    <x v="1"/>
    <x v="1"/>
    <s v="Subscriptions Revenue - West"/>
    <n v="28615.279999999999"/>
    <n v="29361.48"/>
  </r>
  <r>
    <x v="207"/>
    <n v="3"/>
    <n v="2025"/>
    <n v="1"/>
    <s v="R&amp;D"/>
    <x v="1"/>
    <x v="1"/>
    <s v="R&amp;D Revenue - West"/>
    <n v="14005.23"/>
    <n v="15129.64"/>
  </r>
  <r>
    <x v="208"/>
    <n v="3"/>
    <n v="2025"/>
    <n v="1"/>
    <s v="Services"/>
    <x v="1"/>
    <x v="1"/>
    <s v="Services Revenue - West"/>
    <n v="26480.97"/>
    <n v="27914.71"/>
  </r>
  <r>
    <x v="209"/>
    <n v="3"/>
    <n v="2025"/>
    <n v="1"/>
    <s v="Sales"/>
    <x v="0"/>
    <x v="0"/>
    <s v="Sales Expense - East"/>
    <n v="-27040.84"/>
    <m/>
  </r>
  <r>
    <x v="209"/>
    <n v="3"/>
    <n v="2025"/>
    <n v="1"/>
    <s v="Services"/>
    <x v="0"/>
    <x v="1"/>
    <s v="Services Expense - West"/>
    <n v="-17490.29"/>
    <m/>
  </r>
  <r>
    <x v="209"/>
    <n v="3"/>
    <n v="2025"/>
    <n v="1"/>
    <s v="HR"/>
    <x v="1"/>
    <x v="2"/>
    <s v="HR Revenue - North"/>
    <n v="4747.37"/>
    <n v="5000.16"/>
  </r>
  <r>
    <x v="210"/>
    <n v="3"/>
    <n v="2025"/>
    <n v="1"/>
    <s v="Sales"/>
    <x v="1"/>
    <x v="1"/>
    <s v="Sales Revenue - West"/>
    <n v="33069.660000000003"/>
    <n v="32296.31"/>
  </r>
  <r>
    <x v="210"/>
    <n v="3"/>
    <n v="2025"/>
    <n v="1"/>
    <s v="Operations"/>
    <x v="0"/>
    <x v="3"/>
    <s v="Operations Expense - South"/>
    <n v="-15636.11"/>
    <m/>
  </r>
  <r>
    <x v="210"/>
    <n v="3"/>
    <n v="2025"/>
    <n v="1"/>
    <s v="G&amp;A"/>
    <x v="0"/>
    <x v="3"/>
    <s v="G&amp;A Expense - South"/>
    <n v="-2363.2199999999998"/>
    <m/>
  </r>
  <r>
    <x v="211"/>
    <n v="3"/>
    <n v="2025"/>
    <n v="1"/>
    <s v="Services"/>
    <x v="1"/>
    <x v="0"/>
    <s v="Services Revenue - East"/>
    <n v="23702.9"/>
    <n v="23812.5"/>
  </r>
  <r>
    <x v="211"/>
    <n v="3"/>
    <n v="2025"/>
    <n v="1"/>
    <s v="HR"/>
    <x v="1"/>
    <x v="0"/>
    <s v="HR Revenue - East"/>
    <n v="5769.22"/>
    <n v="5667.14"/>
  </r>
  <r>
    <x v="211"/>
    <n v="3"/>
    <n v="2025"/>
    <n v="1"/>
    <s v="HR"/>
    <x v="1"/>
    <x v="1"/>
    <s v="HR Revenue - West"/>
    <n v="5328.76"/>
    <n v="5836.89"/>
  </r>
  <r>
    <x v="212"/>
    <n v="4"/>
    <n v="2025"/>
    <n v="2"/>
    <s v="Operations"/>
    <x v="0"/>
    <x v="1"/>
    <s v="Operations Expense - West"/>
    <n v="-6745.4"/>
    <m/>
  </r>
  <r>
    <x v="213"/>
    <n v="4"/>
    <n v="2025"/>
    <n v="2"/>
    <s v="Services"/>
    <x v="1"/>
    <x v="0"/>
    <s v="Services Revenue - East"/>
    <n v="19077.419999999998"/>
    <n v="17953.97"/>
  </r>
  <r>
    <x v="213"/>
    <n v="4"/>
    <n v="2025"/>
    <n v="2"/>
    <s v="Subscriptions"/>
    <x v="1"/>
    <x v="1"/>
    <s v="Subscriptions Revenue - West"/>
    <n v="21907.39"/>
    <n v="23459.65"/>
  </r>
  <r>
    <x v="213"/>
    <n v="4"/>
    <n v="2025"/>
    <n v="2"/>
    <s v="R&amp;D"/>
    <x v="1"/>
    <x v="1"/>
    <s v="R&amp;D Revenue - West"/>
    <n v="14445.61"/>
    <n v="15407.69"/>
  </r>
  <r>
    <x v="214"/>
    <n v="4"/>
    <n v="2025"/>
    <n v="2"/>
    <s v="Subscriptions"/>
    <x v="1"/>
    <x v="0"/>
    <s v="Subscriptions Revenue - East"/>
    <n v="31393.33"/>
    <n v="29742.3"/>
  </r>
  <r>
    <x v="215"/>
    <n v="4"/>
    <n v="2025"/>
    <n v="2"/>
    <s v="Marketing"/>
    <x v="0"/>
    <x v="1"/>
    <s v="Marketing Expense - West"/>
    <n v="-5521.14"/>
    <m/>
  </r>
  <r>
    <x v="215"/>
    <n v="4"/>
    <n v="2025"/>
    <n v="2"/>
    <s v="R&amp;D"/>
    <x v="0"/>
    <x v="3"/>
    <s v="R&amp;D Expense - South"/>
    <n v="-6178.28"/>
    <m/>
  </r>
  <r>
    <x v="216"/>
    <n v="4"/>
    <n v="2025"/>
    <n v="2"/>
    <s v="Services"/>
    <x v="0"/>
    <x v="0"/>
    <s v="Services Expense - East"/>
    <n v="-29367.119999999999"/>
    <m/>
  </r>
  <r>
    <x v="216"/>
    <n v="4"/>
    <n v="2025"/>
    <n v="2"/>
    <s v="HR"/>
    <x v="1"/>
    <x v="0"/>
    <s v="HR Revenue - East"/>
    <n v="4568.22"/>
    <n v="4898.05"/>
  </r>
  <r>
    <x v="216"/>
    <n v="4"/>
    <n v="2025"/>
    <n v="2"/>
    <s v="Operations"/>
    <x v="0"/>
    <x v="2"/>
    <s v="Operations Expense - North"/>
    <n v="-11471.77"/>
    <m/>
  </r>
  <r>
    <x v="216"/>
    <n v="4"/>
    <n v="2025"/>
    <n v="2"/>
    <s v="G&amp;A"/>
    <x v="0"/>
    <x v="2"/>
    <s v="G&amp;A Expense - North"/>
    <n v="-3073.18"/>
    <m/>
  </r>
  <r>
    <x v="217"/>
    <n v="4"/>
    <n v="2025"/>
    <n v="2"/>
    <s v="Sales"/>
    <x v="0"/>
    <x v="1"/>
    <s v="Sales Expense - West"/>
    <n v="-18510.18"/>
    <m/>
  </r>
  <r>
    <x v="217"/>
    <n v="4"/>
    <n v="2025"/>
    <n v="2"/>
    <s v="Marketing"/>
    <x v="1"/>
    <x v="1"/>
    <s v="Marketing Revenue - West"/>
    <n v="9069.11"/>
    <n v="9694.15"/>
  </r>
  <r>
    <x v="217"/>
    <n v="4"/>
    <n v="2025"/>
    <n v="2"/>
    <s v="G&amp;A"/>
    <x v="1"/>
    <x v="1"/>
    <s v="G&amp;A Revenue - West"/>
    <n v="5466.41"/>
    <n v="5637.89"/>
  </r>
  <r>
    <x v="218"/>
    <n v="4"/>
    <n v="2025"/>
    <n v="2"/>
    <s v="Sales"/>
    <x v="0"/>
    <x v="0"/>
    <s v="Sales Expense - East"/>
    <n v="-16214.6"/>
    <m/>
  </r>
  <r>
    <x v="218"/>
    <n v="4"/>
    <n v="2025"/>
    <n v="2"/>
    <s v="Marketing"/>
    <x v="0"/>
    <x v="0"/>
    <s v="Marketing Expense - East"/>
    <n v="-4478.45"/>
    <m/>
  </r>
  <r>
    <x v="218"/>
    <n v="4"/>
    <n v="2025"/>
    <n v="2"/>
    <s v="R&amp;D"/>
    <x v="0"/>
    <x v="0"/>
    <s v="R&amp;D Expense - East"/>
    <n v="-16021.27"/>
    <m/>
  </r>
  <r>
    <x v="218"/>
    <n v="4"/>
    <n v="2025"/>
    <n v="2"/>
    <s v="Sales"/>
    <x v="1"/>
    <x v="3"/>
    <s v="Sales Revenue - South"/>
    <n v="21264.35"/>
    <n v="21022.97"/>
  </r>
  <r>
    <x v="218"/>
    <n v="4"/>
    <n v="2025"/>
    <n v="2"/>
    <s v="R&amp;D"/>
    <x v="1"/>
    <x v="3"/>
    <s v="R&amp;D Revenue - South"/>
    <n v="8834.2099999999991"/>
    <n v="8888.43"/>
  </r>
  <r>
    <x v="219"/>
    <n v="4"/>
    <n v="2025"/>
    <n v="2"/>
    <s v="Operations"/>
    <x v="0"/>
    <x v="0"/>
    <s v="Operations Expense - East"/>
    <n v="-29329.759999999998"/>
    <m/>
  </r>
  <r>
    <x v="219"/>
    <n v="4"/>
    <n v="2025"/>
    <n v="2"/>
    <s v="Sales"/>
    <x v="1"/>
    <x v="2"/>
    <s v="Sales Revenue - North"/>
    <n v="25282.11"/>
    <n v="26096.14"/>
  </r>
  <r>
    <x v="219"/>
    <n v="4"/>
    <n v="2025"/>
    <n v="2"/>
    <s v="R&amp;D"/>
    <x v="1"/>
    <x v="2"/>
    <s v="R&amp;D Revenue - North"/>
    <n v="10588.7"/>
    <n v="10350.17"/>
  </r>
  <r>
    <x v="220"/>
    <n v="4"/>
    <n v="2025"/>
    <n v="2"/>
    <s v="Sales"/>
    <x v="0"/>
    <x v="3"/>
    <s v="Sales Expense - South"/>
    <n v="-7216.99"/>
    <m/>
  </r>
  <r>
    <x v="221"/>
    <n v="4"/>
    <n v="2025"/>
    <n v="2"/>
    <s v="Subscriptions"/>
    <x v="0"/>
    <x v="0"/>
    <s v="Subscriptions Expense - East"/>
    <n v="-38661.79"/>
    <m/>
  </r>
  <r>
    <x v="221"/>
    <n v="4"/>
    <n v="2025"/>
    <n v="2"/>
    <s v="Operations"/>
    <x v="0"/>
    <x v="3"/>
    <s v="Operations Expense - South"/>
    <n v="-15767.06"/>
    <m/>
  </r>
  <r>
    <x v="222"/>
    <n v="4"/>
    <n v="2025"/>
    <n v="2"/>
    <s v="Services"/>
    <x v="0"/>
    <x v="2"/>
    <s v="Services Expense - North"/>
    <n v="-12146.42"/>
    <m/>
  </r>
  <r>
    <x v="223"/>
    <n v="4"/>
    <n v="2025"/>
    <n v="2"/>
    <s v="HR"/>
    <x v="0"/>
    <x v="0"/>
    <s v="HR Expense - East"/>
    <n v="-1710.21"/>
    <m/>
  </r>
  <r>
    <x v="223"/>
    <n v="4"/>
    <n v="2025"/>
    <n v="2"/>
    <s v="Marketing"/>
    <x v="1"/>
    <x v="3"/>
    <s v="Marketing Revenue - South"/>
    <n v="7837.71"/>
    <n v="7805.33"/>
  </r>
  <r>
    <x v="224"/>
    <n v="4"/>
    <n v="2025"/>
    <n v="2"/>
    <s v="HR"/>
    <x v="1"/>
    <x v="1"/>
    <s v="HR Revenue - West"/>
    <n v="3830.46"/>
    <n v="3956.69"/>
  </r>
  <r>
    <x v="224"/>
    <n v="4"/>
    <n v="2025"/>
    <n v="2"/>
    <s v="HR"/>
    <x v="0"/>
    <x v="3"/>
    <s v="HR Expense - South"/>
    <n v="-3905.52"/>
    <m/>
  </r>
  <r>
    <x v="224"/>
    <n v="4"/>
    <n v="2025"/>
    <n v="2"/>
    <s v="G&amp;A"/>
    <x v="0"/>
    <x v="3"/>
    <s v="G&amp;A Expense - South"/>
    <n v="-2539.75"/>
    <m/>
  </r>
  <r>
    <x v="225"/>
    <n v="4"/>
    <n v="2025"/>
    <n v="2"/>
    <s v="Marketing"/>
    <x v="0"/>
    <x v="3"/>
    <s v="Marketing Expense - South"/>
    <n v="-3986.51"/>
    <m/>
  </r>
  <r>
    <x v="226"/>
    <n v="4"/>
    <n v="2025"/>
    <n v="2"/>
    <s v="Sales"/>
    <x v="1"/>
    <x v="0"/>
    <s v="Sales Revenue - East"/>
    <n v="24069.71"/>
    <n v="22798.49"/>
  </r>
  <r>
    <x v="226"/>
    <n v="4"/>
    <n v="2025"/>
    <n v="2"/>
    <s v="Marketing"/>
    <x v="1"/>
    <x v="0"/>
    <s v="Marketing Revenue - East"/>
    <n v="9442.34"/>
    <n v="9719.16"/>
  </r>
  <r>
    <x v="227"/>
    <n v="4"/>
    <n v="2025"/>
    <n v="2"/>
    <s v="HR"/>
    <x v="1"/>
    <x v="2"/>
    <s v="HR Revenue - North"/>
    <n v="3919"/>
    <n v="4131.13"/>
  </r>
  <r>
    <x v="228"/>
    <n v="4"/>
    <n v="2025"/>
    <n v="2"/>
    <s v="R&amp;D"/>
    <x v="1"/>
    <x v="0"/>
    <s v="R&amp;D Revenue - East"/>
    <n v="10903.78"/>
    <n v="11673.73"/>
  </r>
  <r>
    <x v="229"/>
    <n v="4"/>
    <n v="2025"/>
    <n v="2"/>
    <s v="Services"/>
    <x v="1"/>
    <x v="1"/>
    <s v="Services Revenue - West"/>
    <n v="16924.919999999998"/>
    <n v="16462.400000000001"/>
  </r>
  <r>
    <x v="229"/>
    <n v="4"/>
    <n v="2025"/>
    <n v="2"/>
    <s v="Subscriptions"/>
    <x v="1"/>
    <x v="3"/>
    <s v="Subscriptions Revenue - South"/>
    <n v="18800.099999999999"/>
    <n v="18052.72"/>
  </r>
  <r>
    <x v="230"/>
    <n v="4"/>
    <n v="2025"/>
    <n v="2"/>
    <s v="R&amp;D"/>
    <x v="0"/>
    <x v="2"/>
    <s v="R&amp;D Expense - North"/>
    <n v="-12093.75"/>
    <m/>
  </r>
  <r>
    <x v="230"/>
    <n v="4"/>
    <n v="2025"/>
    <n v="2"/>
    <s v="Services"/>
    <x v="1"/>
    <x v="3"/>
    <s v="Services Revenue - South"/>
    <n v="22693.33"/>
    <n v="24831.52"/>
  </r>
  <r>
    <x v="230"/>
    <n v="4"/>
    <n v="2025"/>
    <n v="2"/>
    <s v="HR"/>
    <x v="1"/>
    <x v="3"/>
    <s v="HR Revenue - South"/>
    <n v="5074.57"/>
    <n v="4770.78"/>
  </r>
  <r>
    <x v="231"/>
    <n v="4"/>
    <n v="2025"/>
    <n v="2"/>
    <s v="Services"/>
    <x v="1"/>
    <x v="2"/>
    <s v="Services Revenue - North"/>
    <n v="24316.55"/>
    <n v="23478.77"/>
  </r>
  <r>
    <x v="231"/>
    <n v="4"/>
    <n v="2025"/>
    <n v="2"/>
    <s v="Subscriptions"/>
    <x v="1"/>
    <x v="2"/>
    <s v="Subscriptions Revenue - North"/>
    <n v="28046.28"/>
    <n v="30590.39"/>
  </r>
  <r>
    <x v="231"/>
    <n v="4"/>
    <n v="2025"/>
    <n v="2"/>
    <s v="Marketing"/>
    <x v="1"/>
    <x v="2"/>
    <s v="Marketing Revenue - North"/>
    <n v="6437.72"/>
    <n v="6812.09"/>
  </r>
  <r>
    <x v="232"/>
    <n v="4"/>
    <n v="2025"/>
    <n v="2"/>
    <s v="Marketing"/>
    <x v="0"/>
    <x v="2"/>
    <s v="Marketing Expense - North"/>
    <n v="-8213.27"/>
    <m/>
  </r>
  <r>
    <x v="232"/>
    <n v="4"/>
    <n v="2025"/>
    <n v="2"/>
    <s v="Subscriptions"/>
    <x v="0"/>
    <x v="3"/>
    <s v="Subscriptions Expense - South"/>
    <n v="-16611.18"/>
    <m/>
  </r>
  <r>
    <x v="232"/>
    <n v="4"/>
    <n v="2025"/>
    <n v="2"/>
    <s v="Operations"/>
    <x v="1"/>
    <x v="3"/>
    <s v="Operations Revenue - South"/>
    <n v="11370.14"/>
    <n v="10969.52"/>
  </r>
  <r>
    <x v="233"/>
    <n v="4"/>
    <n v="2025"/>
    <n v="2"/>
    <s v="G&amp;A"/>
    <x v="0"/>
    <x v="0"/>
    <s v="G&amp;A Expense - East"/>
    <n v="-3089.77"/>
    <m/>
  </r>
  <r>
    <x v="233"/>
    <n v="4"/>
    <n v="2025"/>
    <n v="2"/>
    <s v="HR"/>
    <x v="0"/>
    <x v="2"/>
    <s v="HR Expense - North"/>
    <n v="-2526.4299999999998"/>
    <m/>
  </r>
  <r>
    <x v="234"/>
    <n v="4"/>
    <n v="2025"/>
    <n v="2"/>
    <s v="Operations"/>
    <x v="1"/>
    <x v="2"/>
    <s v="Operations Revenue - North"/>
    <n v="15421.29"/>
    <n v="15598.99"/>
  </r>
  <r>
    <x v="234"/>
    <n v="4"/>
    <n v="2025"/>
    <n v="2"/>
    <s v="G&amp;A"/>
    <x v="1"/>
    <x v="3"/>
    <s v="G&amp;A Revenue - South"/>
    <n v="6468.28"/>
    <n v="6781.64"/>
  </r>
  <r>
    <x v="235"/>
    <n v="4"/>
    <n v="2025"/>
    <n v="2"/>
    <s v="G&amp;A"/>
    <x v="1"/>
    <x v="0"/>
    <s v="G&amp;A Revenue - East"/>
    <n v="7210.29"/>
    <n v="6712.89"/>
  </r>
  <r>
    <x v="235"/>
    <n v="4"/>
    <n v="2025"/>
    <n v="2"/>
    <s v="Sales"/>
    <x v="1"/>
    <x v="1"/>
    <s v="Sales Revenue - West"/>
    <n v="25975.18"/>
    <n v="26784.06"/>
  </r>
  <r>
    <x v="235"/>
    <n v="4"/>
    <n v="2025"/>
    <n v="2"/>
    <s v="Services"/>
    <x v="0"/>
    <x v="1"/>
    <s v="Services Expense - West"/>
    <n v="-18873.53"/>
    <m/>
  </r>
  <r>
    <x v="235"/>
    <n v="4"/>
    <n v="2025"/>
    <n v="2"/>
    <s v="R&amp;D"/>
    <x v="0"/>
    <x v="1"/>
    <s v="R&amp;D Expense - West"/>
    <n v="-5367.76"/>
    <m/>
  </r>
  <r>
    <x v="235"/>
    <n v="4"/>
    <n v="2025"/>
    <n v="2"/>
    <s v="G&amp;A"/>
    <x v="0"/>
    <x v="1"/>
    <s v="G&amp;A Expense - West"/>
    <n v="-6412.14"/>
    <m/>
  </r>
  <r>
    <x v="235"/>
    <n v="4"/>
    <n v="2025"/>
    <n v="2"/>
    <s v="Services"/>
    <x v="0"/>
    <x v="3"/>
    <s v="Services Expense - South"/>
    <n v="-8784.66"/>
    <m/>
  </r>
  <r>
    <x v="236"/>
    <n v="4"/>
    <n v="2025"/>
    <n v="2"/>
    <s v="Subscriptions"/>
    <x v="0"/>
    <x v="1"/>
    <s v="Subscriptions Expense - West"/>
    <n v="-16194.29"/>
    <m/>
  </r>
  <r>
    <x v="237"/>
    <n v="4"/>
    <n v="2025"/>
    <n v="2"/>
    <s v="Operations"/>
    <x v="1"/>
    <x v="0"/>
    <s v="Operations Revenue - East"/>
    <n v="17650.669999999998"/>
    <n v="18750.09"/>
  </r>
  <r>
    <x v="238"/>
    <n v="4"/>
    <n v="2025"/>
    <n v="2"/>
    <s v="Operations"/>
    <x v="1"/>
    <x v="1"/>
    <s v="Operations Revenue - West"/>
    <n v="18401.84"/>
    <n v="19663.169999999998"/>
  </r>
  <r>
    <x v="238"/>
    <n v="4"/>
    <n v="2025"/>
    <n v="2"/>
    <s v="HR"/>
    <x v="0"/>
    <x v="1"/>
    <s v="HR Expense - West"/>
    <n v="-4020.1800000000003"/>
    <m/>
  </r>
  <r>
    <x v="238"/>
    <n v="4"/>
    <n v="2025"/>
    <n v="2"/>
    <s v="Sales"/>
    <x v="0"/>
    <x v="2"/>
    <s v="Sales Expense - North"/>
    <n v="-30951.49"/>
    <m/>
  </r>
  <r>
    <x v="238"/>
    <n v="4"/>
    <n v="2025"/>
    <n v="2"/>
    <s v="Subscriptions"/>
    <x v="0"/>
    <x v="2"/>
    <s v="Subscriptions Expense - North"/>
    <n v="-25156.5"/>
    <m/>
  </r>
  <r>
    <x v="239"/>
    <n v="4"/>
    <n v="2025"/>
    <n v="2"/>
    <s v="G&amp;A"/>
    <x v="1"/>
    <x v="2"/>
    <s v="G&amp;A Revenue - North"/>
    <n v="6359.01"/>
    <n v="6574.67"/>
  </r>
  <r>
    <x v="240"/>
    <n v="5"/>
    <n v="2025"/>
    <n v="2"/>
    <s v="G&amp;A"/>
    <x v="1"/>
    <x v="1"/>
    <s v="G&amp;A Revenue - West"/>
    <n v="6872.42"/>
    <n v="7548.39"/>
  </r>
  <r>
    <x v="240"/>
    <n v="5"/>
    <n v="2025"/>
    <n v="2"/>
    <s v="Services"/>
    <x v="0"/>
    <x v="2"/>
    <s v="Services Expense - North"/>
    <n v="-20851.16"/>
    <m/>
  </r>
  <r>
    <x v="241"/>
    <n v="5"/>
    <n v="2025"/>
    <n v="2"/>
    <s v="Marketing"/>
    <x v="1"/>
    <x v="0"/>
    <s v="Marketing Revenue - East"/>
    <n v="9636.5"/>
    <n v="9146"/>
  </r>
  <r>
    <x v="242"/>
    <n v="5"/>
    <n v="2025"/>
    <n v="2"/>
    <s v="Subscriptions"/>
    <x v="1"/>
    <x v="3"/>
    <s v="Subscriptions Revenue - South"/>
    <n v="27235.57"/>
    <n v="27695.14"/>
  </r>
  <r>
    <x v="243"/>
    <n v="5"/>
    <n v="2025"/>
    <n v="2"/>
    <s v="Marketing"/>
    <x v="1"/>
    <x v="3"/>
    <s v="Marketing Revenue - South"/>
    <n v="9954.07"/>
    <n v="9522.11"/>
  </r>
  <r>
    <x v="243"/>
    <n v="5"/>
    <n v="2025"/>
    <n v="2"/>
    <s v="Marketing"/>
    <x v="0"/>
    <x v="3"/>
    <s v="Marketing Expense - South"/>
    <n v="-11118.550000000001"/>
    <m/>
  </r>
  <r>
    <x v="244"/>
    <n v="5"/>
    <n v="2025"/>
    <n v="2"/>
    <s v="Operations"/>
    <x v="1"/>
    <x v="3"/>
    <s v="Operations Revenue - South"/>
    <n v="15720.88"/>
    <n v="15709.26"/>
  </r>
  <r>
    <x v="245"/>
    <n v="5"/>
    <n v="2025"/>
    <n v="2"/>
    <s v="G&amp;A"/>
    <x v="0"/>
    <x v="1"/>
    <s v="G&amp;A Expense - West"/>
    <n v="-4206.5200000000004"/>
    <m/>
  </r>
  <r>
    <x v="245"/>
    <n v="5"/>
    <n v="2025"/>
    <n v="2"/>
    <s v="HR"/>
    <x v="0"/>
    <x v="2"/>
    <s v="HR Expense - North"/>
    <n v="-7750.11"/>
    <m/>
  </r>
  <r>
    <x v="245"/>
    <n v="5"/>
    <n v="2025"/>
    <n v="2"/>
    <s v="G&amp;A"/>
    <x v="1"/>
    <x v="2"/>
    <s v="G&amp;A Revenue - North"/>
    <n v="7617.46"/>
    <n v="7654.28"/>
  </r>
  <r>
    <x v="246"/>
    <n v="5"/>
    <n v="2025"/>
    <n v="2"/>
    <s v="Services"/>
    <x v="0"/>
    <x v="1"/>
    <s v="Services Expense - West"/>
    <n v="-12430.07"/>
    <m/>
  </r>
  <r>
    <x v="246"/>
    <n v="5"/>
    <n v="2025"/>
    <n v="2"/>
    <s v="Marketing"/>
    <x v="0"/>
    <x v="1"/>
    <s v="Marketing Expense - West"/>
    <n v="-16425.830000000002"/>
    <m/>
  </r>
  <r>
    <x v="246"/>
    <n v="5"/>
    <n v="2025"/>
    <n v="2"/>
    <s v="G&amp;A"/>
    <x v="0"/>
    <x v="3"/>
    <s v="G&amp;A Expense - South"/>
    <n v="-9293.93"/>
    <m/>
  </r>
  <r>
    <x v="247"/>
    <n v="5"/>
    <n v="2025"/>
    <n v="2"/>
    <s v="Marketing"/>
    <x v="0"/>
    <x v="0"/>
    <s v="Marketing Expense - East"/>
    <n v="-7191.33"/>
    <m/>
  </r>
  <r>
    <x v="247"/>
    <n v="5"/>
    <n v="2025"/>
    <n v="2"/>
    <s v="Subscriptions"/>
    <x v="0"/>
    <x v="1"/>
    <s v="Subscriptions Expense - West"/>
    <n v="-11090.37"/>
    <m/>
  </r>
  <r>
    <x v="247"/>
    <n v="5"/>
    <n v="2025"/>
    <n v="2"/>
    <s v="Marketing"/>
    <x v="0"/>
    <x v="2"/>
    <s v="Marketing Expense - North"/>
    <n v="-6854.58"/>
    <m/>
  </r>
  <r>
    <x v="247"/>
    <n v="5"/>
    <n v="2025"/>
    <n v="2"/>
    <s v="HR"/>
    <x v="1"/>
    <x v="2"/>
    <s v="HR Revenue - North"/>
    <n v="5861.73"/>
    <n v="5924.81"/>
  </r>
  <r>
    <x v="247"/>
    <n v="5"/>
    <n v="2025"/>
    <n v="2"/>
    <s v="HR"/>
    <x v="0"/>
    <x v="3"/>
    <s v="HR Expense - South"/>
    <n v="-5298.46"/>
    <m/>
  </r>
  <r>
    <x v="247"/>
    <n v="5"/>
    <n v="2025"/>
    <n v="2"/>
    <s v="G&amp;A"/>
    <x v="1"/>
    <x v="3"/>
    <s v="G&amp;A Revenue - South"/>
    <n v="7661.05"/>
    <n v="7314.51"/>
  </r>
  <r>
    <x v="248"/>
    <n v="5"/>
    <n v="2025"/>
    <n v="2"/>
    <s v="Operations"/>
    <x v="0"/>
    <x v="0"/>
    <s v="Operations Expense - East"/>
    <n v="-14476.33"/>
    <m/>
  </r>
  <r>
    <x v="249"/>
    <n v="5"/>
    <n v="2025"/>
    <n v="2"/>
    <s v="Sales"/>
    <x v="0"/>
    <x v="0"/>
    <s v="Sales Expense - East"/>
    <n v="-26923.26"/>
    <m/>
  </r>
  <r>
    <x v="249"/>
    <n v="5"/>
    <n v="2025"/>
    <n v="2"/>
    <s v="G&amp;A"/>
    <x v="0"/>
    <x v="0"/>
    <s v="G&amp;A Expense - East"/>
    <n v="-9554.0400000000009"/>
    <m/>
  </r>
  <r>
    <x v="249"/>
    <n v="5"/>
    <n v="2025"/>
    <n v="2"/>
    <s v="Marketing"/>
    <x v="1"/>
    <x v="2"/>
    <s v="Marketing Revenue - North"/>
    <n v="9608.2900000000009"/>
    <n v="9756.5499999999993"/>
  </r>
  <r>
    <x v="250"/>
    <n v="5"/>
    <n v="2025"/>
    <n v="2"/>
    <s v="Operations"/>
    <x v="0"/>
    <x v="3"/>
    <s v="Operations Expense - South"/>
    <n v="-20087.03"/>
    <m/>
  </r>
  <r>
    <x v="251"/>
    <n v="5"/>
    <n v="2025"/>
    <n v="2"/>
    <s v="Sales"/>
    <x v="1"/>
    <x v="2"/>
    <s v="Sales Revenue - North"/>
    <n v="39742.94"/>
    <n v="39027.81"/>
  </r>
  <r>
    <x v="252"/>
    <n v="5"/>
    <n v="2025"/>
    <n v="2"/>
    <s v="Services"/>
    <x v="1"/>
    <x v="1"/>
    <s v="Services Revenue - West"/>
    <n v="22075.18"/>
    <n v="21577.8"/>
  </r>
  <r>
    <x v="253"/>
    <n v="5"/>
    <n v="2025"/>
    <n v="2"/>
    <s v="Services"/>
    <x v="0"/>
    <x v="0"/>
    <s v="Services Expense - East"/>
    <n v="-18955.060000000001"/>
    <m/>
  </r>
  <r>
    <x v="253"/>
    <n v="5"/>
    <n v="2025"/>
    <n v="2"/>
    <s v="HR"/>
    <x v="0"/>
    <x v="0"/>
    <s v="HR Expense - East"/>
    <n v="-2945.53"/>
    <m/>
  </r>
  <r>
    <x v="253"/>
    <n v="5"/>
    <n v="2025"/>
    <n v="2"/>
    <s v="R&amp;D"/>
    <x v="1"/>
    <x v="1"/>
    <s v="R&amp;D Revenue - West"/>
    <n v="11823.93"/>
    <n v="11467.72"/>
  </r>
  <r>
    <x v="253"/>
    <n v="5"/>
    <n v="2025"/>
    <n v="2"/>
    <s v="Services"/>
    <x v="1"/>
    <x v="3"/>
    <s v="Services Revenue - South"/>
    <n v="24071.42"/>
    <n v="26401.93"/>
  </r>
  <r>
    <x v="253"/>
    <n v="5"/>
    <n v="2025"/>
    <n v="2"/>
    <s v="Services"/>
    <x v="0"/>
    <x v="3"/>
    <s v="Services Expense - South"/>
    <n v="-10819.71"/>
    <m/>
  </r>
  <r>
    <x v="253"/>
    <n v="5"/>
    <n v="2025"/>
    <n v="2"/>
    <s v="HR"/>
    <x v="1"/>
    <x v="3"/>
    <s v="HR Revenue - South"/>
    <n v="4979.3100000000004"/>
    <n v="5390.91"/>
  </r>
  <r>
    <x v="254"/>
    <n v="5"/>
    <n v="2025"/>
    <n v="2"/>
    <s v="R&amp;D"/>
    <x v="0"/>
    <x v="0"/>
    <s v="R&amp;D Expense - East"/>
    <n v="-7719.45"/>
    <m/>
  </r>
  <r>
    <x v="254"/>
    <n v="5"/>
    <n v="2025"/>
    <n v="2"/>
    <s v="R&amp;D"/>
    <x v="0"/>
    <x v="3"/>
    <s v="R&amp;D Expense - South"/>
    <n v="-7335.62"/>
    <m/>
  </r>
  <r>
    <x v="255"/>
    <n v="5"/>
    <n v="2025"/>
    <n v="2"/>
    <s v="R&amp;D"/>
    <x v="1"/>
    <x v="3"/>
    <s v="R&amp;D Revenue - South"/>
    <n v="11543.33"/>
    <n v="11616.54"/>
  </r>
  <r>
    <x v="256"/>
    <n v="5"/>
    <n v="2025"/>
    <n v="2"/>
    <s v="Subscriptions"/>
    <x v="1"/>
    <x v="0"/>
    <s v="Subscriptions Revenue - East"/>
    <n v="37046.74"/>
    <n v="40382.86"/>
  </r>
  <r>
    <x v="256"/>
    <n v="5"/>
    <n v="2025"/>
    <n v="2"/>
    <s v="Subscriptions"/>
    <x v="1"/>
    <x v="2"/>
    <s v="Subscriptions Revenue - North"/>
    <n v="31835.33"/>
    <n v="34639.129999999997"/>
  </r>
  <r>
    <x v="256"/>
    <n v="5"/>
    <n v="2025"/>
    <n v="2"/>
    <s v="Operations"/>
    <x v="0"/>
    <x v="2"/>
    <s v="Operations Expense - North"/>
    <n v="-18346.38"/>
    <m/>
  </r>
  <r>
    <x v="257"/>
    <n v="5"/>
    <n v="2025"/>
    <n v="2"/>
    <s v="Sales"/>
    <x v="1"/>
    <x v="1"/>
    <s v="Sales Revenue - West"/>
    <n v="32395.279999999999"/>
    <n v="33846.6"/>
  </r>
  <r>
    <x v="258"/>
    <n v="5"/>
    <n v="2025"/>
    <n v="2"/>
    <s v="Operations"/>
    <x v="1"/>
    <x v="0"/>
    <s v="Operations Revenue - East"/>
    <n v="23512.42"/>
    <n v="22026.73"/>
  </r>
  <r>
    <x v="258"/>
    <n v="5"/>
    <n v="2025"/>
    <n v="2"/>
    <s v="Sales"/>
    <x v="0"/>
    <x v="2"/>
    <s v="Sales Expense - North"/>
    <n v="-50068.09"/>
    <m/>
  </r>
  <r>
    <x v="258"/>
    <n v="5"/>
    <n v="2025"/>
    <n v="2"/>
    <s v="R&amp;D"/>
    <x v="0"/>
    <x v="2"/>
    <s v="R&amp;D Expense - North"/>
    <n v="-6713.09"/>
    <m/>
  </r>
  <r>
    <x v="259"/>
    <n v="5"/>
    <n v="2025"/>
    <n v="2"/>
    <s v="Subscriptions"/>
    <x v="1"/>
    <x v="1"/>
    <s v="Subscriptions Revenue - West"/>
    <n v="30569.91"/>
    <n v="30521.73"/>
  </r>
  <r>
    <x v="259"/>
    <n v="5"/>
    <n v="2025"/>
    <n v="2"/>
    <s v="HR"/>
    <x v="0"/>
    <x v="1"/>
    <s v="HR Expense - West"/>
    <n v="-9216.7999999999993"/>
    <m/>
  </r>
  <r>
    <x v="260"/>
    <n v="5"/>
    <n v="2025"/>
    <n v="2"/>
    <s v="HR"/>
    <x v="1"/>
    <x v="1"/>
    <s v="HR Revenue - West"/>
    <n v="6381.27"/>
    <n v="6769.28"/>
  </r>
  <r>
    <x v="261"/>
    <n v="5"/>
    <n v="2025"/>
    <n v="2"/>
    <s v="Sales"/>
    <x v="1"/>
    <x v="0"/>
    <s v="Sales Revenue - East"/>
    <n v="35730.46"/>
    <n v="38076.69"/>
  </r>
  <r>
    <x v="261"/>
    <n v="5"/>
    <n v="2025"/>
    <n v="2"/>
    <s v="Subscriptions"/>
    <x v="0"/>
    <x v="0"/>
    <s v="Subscriptions Expense - East"/>
    <n v="-28780.62"/>
    <m/>
  </r>
  <r>
    <x v="261"/>
    <n v="5"/>
    <n v="2025"/>
    <n v="2"/>
    <s v="Subscriptions"/>
    <x v="0"/>
    <x v="3"/>
    <s v="Subscriptions Expense - South"/>
    <n v="-28616.639999999999"/>
    <m/>
  </r>
  <r>
    <x v="262"/>
    <n v="5"/>
    <n v="2025"/>
    <n v="2"/>
    <s v="Operations"/>
    <x v="0"/>
    <x v="1"/>
    <s v="Operations Expense - West"/>
    <n v="-28026.83"/>
    <m/>
  </r>
  <r>
    <x v="262"/>
    <n v="5"/>
    <n v="2025"/>
    <n v="2"/>
    <s v="Sales"/>
    <x v="0"/>
    <x v="3"/>
    <s v="Sales Expense - South"/>
    <n v="-16277.95"/>
    <m/>
  </r>
  <r>
    <x v="263"/>
    <n v="5"/>
    <n v="2025"/>
    <n v="2"/>
    <s v="Services"/>
    <x v="1"/>
    <x v="0"/>
    <s v="Services Revenue - East"/>
    <n v="31278.799999999999"/>
    <n v="29616.98"/>
  </r>
  <r>
    <x v="264"/>
    <n v="5"/>
    <n v="2025"/>
    <n v="2"/>
    <s v="Services"/>
    <x v="1"/>
    <x v="2"/>
    <s v="Services Revenue - North"/>
    <n v="23498.6"/>
    <n v="23354.83"/>
  </r>
  <r>
    <x v="264"/>
    <n v="5"/>
    <n v="2025"/>
    <n v="2"/>
    <s v="Subscriptions"/>
    <x v="0"/>
    <x v="2"/>
    <s v="Subscriptions Expense - North"/>
    <n v="-42202.32"/>
    <m/>
  </r>
  <r>
    <x v="265"/>
    <n v="5"/>
    <n v="2025"/>
    <n v="2"/>
    <s v="Sales"/>
    <x v="0"/>
    <x v="1"/>
    <s v="Sales Expense - West"/>
    <n v="-50167.61"/>
    <m/>
  </r>
  <r>
    <x v="265"/>
    <n v="5"/>
    <n v="2025"/>
    <n v="2"/>
    <s v="Marketing"/>
    <x v="1"/>
    <x v="1"/>
    <s v="Marketing Revenue - West"/>
    <n v="11007.36"/>
    <n v="10534.75"/>
  </r>
  <r>
    <x v="266"/>
    <n v="5"/>
    <n v="2025"/>
    <n v="2"/>
    <s v="HR"/>
    <x v="1"/>
    <x v="0"/>
    <s v="HR Revenue - East"/>
    <n v="6503.48"/>
    <n v="6372.72"/>
  </r>
  <r>
    <x v="266"/>
    <n v="5"/>
    <n v="2025"/>
    <n v="2"/>
    <s v="R&amp;D"/>
    <x v="1"/>
    <x v="0"/>
    <s v="R&amp;D Revenue - East"/>
    <n v="13156.12"/>
    <n v="12418.78"/>
  </r>
  <r>
    <x v="266"/>
    <n v="5"/>
    <n v="2025"/>
    <n v="2"/>
    <s v="Operations"/>
    <x v="1"/>
    <x v="2"/>
    <s v="Operations Revenue - North"/>
    <n v="17075.3"/>
    <n v="18771.990000000002"/>
  </r>
  <r>
    <x v="266"/>
    <n v="5"/>
    <n v="2025"/>
    <n v="2"/>
    <s v="R&amp;D"/>
    <x v="1"/>
    <x v="2"/>
    <s v="R&amp;D Revenue - North"/>
    <n v="14640.72"/>
    <n v="16061.43"/>
  </r>
  <r>
    <x v="267"/>
    <n v="5"/>
    <n v="2025"/>
    <n v="2"/>
    <s v="Operations"/>
    <x v="1"/>
    <x v="1"/>
    <s v="Operations Revenue - West"/>
    <n v="19919.68"/>
    <n v="20691.259999999998"/>
  </r>
  <r>
    <x v="268"/>
    <n v="5"/>
    <n v="2025"/>
    <n v="2"/>
    <s v="G&amp;A"/>
    <x v="1"/>
    <x v="0"/>
    <s v="G&amp;A Revenue - East"/>
    <n v="8716.82"/>
    <n v="9226.85"/>
  </r>
  <r>
    <x v="268"/>
    <n v="5"/>
    <n v="2025"/>
    <n v="2"/>
    <s v="G&amp;A"/>
    <x v="0"/>
    <x v="2"/>
    <s v="G&amp;A Expense - North"/>
    <n v="-6062.98"/>
    <m/>
  </r>
  <r>
    <x v="268"/>
    <n v="5"/>
    <n v="2025"/>
    <n v="2"/>
    <s v="Sales"/>
    <x v="1"/>
    <x v="3"/>
    <s v="Sales Revenue - South"/>
    <n v="24944.7"/>
    <n v="27276.9"/>
  </r>
  <r>
    <x v="269"/>
    <n v="5"/>
    <n v="2025"/>
    <n v="2"/>
    <s v="R&amp;D"/>
    <x v="0"/>
    <x v="1"/>
    <s v="R&amp;D Expense - West"/>
    <n v="-6353.73"/>
    <m/>
  </r>
  <r>
    <x v="270"/>
    <n v="6"/>
    <n v="2025"/>
    <n v="2"/>
    <s v="Sales"/>
    <x v="1"/>
    <x v="3"/>
    <s v="Sales Revenue - South"/>
    <n v="25832.51"/>
    <n v="27033.53"/>
  </r>
  <r>
    <x v="271"/>
    <n v="6"/>
    <n v="2025"/>
    <n v="2"/>
    <s v="R&amp;D"/>
    <x v="1"/>
    <x v="0"/>
    <s v="R&amp;D Revenue - East"/>
    <n v="11523.39"/>
    <n v="12342.06"/>
  </r>
  <r>
    <x v="271"/>
    <n v="6"/>
    <n v="2025"/>
    <n v="2"/>
    <s v="G&amp;A"/>
    <x v="1"/>
    <x v="0"/>
    <s v="G&amp;A Revenue - East"/>
    <n v="6996.59"/>
    <n v="7540.84"/>
  </r>
  <r>
    <x v="271"/>
    <n v="6"/>
    <n v="2025"/>
    <n v="2"/>
    <s v="Operations"/>
    <x v="0"/>
    <x v="2"/>
    <s v="Operations Expense - North"/>
    <n v="-14240.67"/>
    <m/>
  </r>
  <r>
    <x v="272"/>
    <n v="6"/>
    <n v="2025"/>
    <n v="2"/>
    <s v="Marketing"/>
    <x v="1"/>
    <x v="0"/>
    <s v="Marketing Revenue - East"/>
    <n v="7873.53"/>
    <n v="8299.2999999999993"/>
  </r>
  <r>
    <x v="272"/>
    <n v="6"/>
    <n v="2025"/>
    <n v="2"/>
    <s v="HR"/>
    <x v="0"/>
    <x v="2"/>
    <s v="HR Expense - North"/>
    <n v="-1536.16"/>
    <m/>
  </r>
  <r>
    <x v="272"/>
    <n v="6"/>
    <n v="2025"/>
    <n v="2"/>
    <s v="Sales"/>
    <x v="0"/>
    <x v="3"/>
    <s v="Sales Expense - South"/>
    <n v="-11986.17"/>
    <m/>
  </r>
  <r>
    <x v="273"/>
    <n v="6"/>
    <n v="2025"/>
    <n v="2"/>
    <s v="Subscriptions"/>
    <x v="0"/>
    <x v="3"/>
    <s v="Subscriptions Expense - South"/>
    <n v="-16829.59"/>
    <m/>
  </r>
  <r>
    <x v="273"/>
    <n v="6"/>
    <n v="2025"/>
    <n v="2"/>
    <s v="Operations"/>
    <x v="0"/>
    <x v="3"/>
    <s v="Operations Expense - South"/>
    <n v="-13099.039999999999"/>
    <m/>
  </r>
  <r>
    <x v="274"/>
    <n v="6"/>
    <n v="2025"/>
    <n v="2"/>
    <s v="Sales"/>
    <x v="1"/>
    <x v="0"/>
    <s v="Sales Revenue - East"/>
    <n v="29446.26"/>
    <n v="31598.02"/>
  </r>
  <r>
    <x v="274"/>
    <n v="6"/>
    <n v="2025"/>
    <n v="2"/>
    <s v="HR"/>
    <x v="1"/>
    <x v="0"/>
    <s v="HR Revenue - East"/>
    <n v="5824.92"/>
    <n v="5676.37"/>
  </r>
  <r>
    <x v="275"/>
    <n v="6"/>
    <n v="2025"/>
    <n v="2"/>
    <s v="G&amp;A"/>
    <x v="0"/>
    <x v="0"/>
    <s v="G&amp;A Expense - East"/>
    <n v="-4059.3"/>
    <m/>
  </r>
  <r>
    <x v="275"/>
    <n v="6"/>
    <n v="2025"/>
    <n v="2"/>
    <s v="Services"/>
    <x v="0"/>
    <x v="1"/>
    <s v="Services Expense - West"/>
    <n v="-9279.48"/>
    <m/>
  </r>
  <r>
    <x v="276"/>
    <n v="6"/>
    <n v="2025"/>
    <n v="2"/>
    <s v="HR"/>
    <x v="0"/>
    <x v="1"/>
    <s v="HR Expense - West"/>
    <n v="-6366.41"/>
    <m/>
  </r>
  <r>
    <x v="276"/>
    <n v="6"/>
    <n v="2025"/>
    <n v="2"/>
    <s v="Sales"/>
    <x v="1"/>
    <x v="2"/>
    <s v="Sales Revenue - North"/>
    <n v="34572.080000000002"/>
    <n v="32853.97"/>
  </r>
  <r>
    <x v="277"/>
    <n v="6"/>
    <n v="2025"/>
    <n v="2"/>
    <s v="Subscriptions"/>
    <x v="1"/>
    <x v="0"/>
    <s v="Subscriptions Revenue - East"/>
    <n v="24983.02"/>
    <n v="23250.57"/>
  </r>
  <r>
    <x v="277"/>
    <n v="6"/>
    <n v="2025"/>
    <n v="2"/>
    <s v="Marketing"/>
    <x v="1"/>
    <x v="1"/>
    <s v="Marketing Revenue - West"/>
    <n v="9309.5499999999993"/>
    <n v="9834.94"/>
  </r>
  <r>
    <x v="277"/>
    <n v="6"/>
    <n v="2025"/>
    <n v="2"/>
    <s v="Services"/>
    <x v="1"/>
    <x v="2"/>
    <s v="Services Revenue - North"/>
    <n v="26537.03"/>
    <n v="28682.28"/>
  </r>
  <r>
    <x v="277"/>
    <n v="6"/>
    <n v="2025"/>
    <n v="2"/>
    <s v="R&amp;D"/>
    <x v="1"/>
    <x v="3"/>
    <s v="R&amp;D Revenue - South"/>
    <n v="12141.32"/>
    <n v="12358.72"/>
  </r>
  <r>
    <x v="278"/>
    <n v="6"/>
    <n v="2025"/>
    <n v="2"/>
    <s v="Subscriptions"/>
    <x v="1"/>
    <x v="1"/>
    <s v="Subscriptions Revenue - West"/>
    <n v="22164.69"/>
    <n v="22141.88"/>
  </r>
  <r>
    <x v="278"/>
    <n v="6"/>
    <n v="2025"/>
    <n v="2"/>
    <s v="HR"/>
    <x v="1"/>
    <x v="1"/>
    <s v="HR Revenue - West"/>
    <n v="4267.3"/>
    <n v="4433.2700000000004"/>
  </r>
  <r>
    <x v="278"/>
    <n v="6"/>
    <n v="2025"/>
    <n v="2"/>
    <s v="Subscriptions"/>
    <x v="0"/>
    <x v="2"/>
    <s v="Subscriptions Expense - North"/>
    <n v="-25968.120000000003"/>
    <m/>
  </r>
  <r>
    <x v="279"/>
    <n v="6"/>
    <n v="2025"/>
    <n v="2"/>
    <s v="Sales"/>
    <x v="0"/>
    <x v="1"/>
    <s v="Sales Expense - West"/>
    <n v="-37762.879999999997"/>
    <m/>
  </r>
  <r>
    <x v="279"/>
    <n v="6"/>
    <n v="2025"/>
    <n v="2"/>
    <s v="R&amp;D"/>
    <x v="1"/>
    <x v="1"/>
    <s v="R&amp;D Revenue - West"/>
    <n v="13205.39"/>
    <n v="12811.72"/>
  </r>
  <r>
    <x v="279"/>
    <n v="6"/>
    <n v="2025"/>
    <n v="2"/>
    <s v="Marketing"/>
    <x v="1"/>
    <x v="2"/>
    <s v="Marketing Revenue - North"/>
    <n v="7969.78"/>
    <n v="7990.37"/>
  </r>
  <r>
    <x v="279"/>
    <n v="6"/>
    <n v="2025"/>
    <n v="2"/>
    <s v="HR"/>
    <x v="1"/>
    <x v="3"/>
    <s v="HR Revenue - South"/>
    <n v="4360.1400000000003"/>
    <n v="4128.1000000000004"/>
  </r>
  <r>
    <x v="280"/>
    <n v="6"/>
    <n v="2025"/>
    <n v="2"/>
    <s v="Sales"/>
    <x v="0"/>
    <x v="0"/>
    <s v="Sales Expense - East"/>
    <n v="-10320.61"/>
    <m/>
  </r>
  <r>
    <x v="280"/>
    <n v="6"/>
    <n v="2025"/>
    <n v="2"/>
    <s v="Operations"/>
    <x v="1"/>
    <x v="1"/>
    <s v="Operations Revenue - West"/>
    <n v="20139.89"/>
    <n v="19700.560000000001"/>
  </r>
  <r>
    <x v="280"/>
    <n v="6"/>
    <n v="2025"/>
    <n v="2"/>
    <s v="G&amp;A"/>
    <x v="0"/>
    <x v="1"/>
    <s v="G&amp;A Expense - West"/>
    <n v="-4082.26"/>
    <m/>
  </r>
  <r>
    <x v="281"/>
    <n v="6"/>
    <n v="2025"/>
    <n v="2"/>
    <s v="G&amp;A"/>
    <x v="1"/>
    <x v="3"/>
    <s v="G&amp;A Revenue - South"/>
    <n v="6395.46"/>
    <n v="6612.75"/>
  </r>
  <r>
    <x v="282"/>
    <n v="6"/>
    <n v="2025"/>
    <n v="2"/>
    <s v="Sales"/>
    <x v="0"/>
    <x v="2"/>
    <s v="Sales Expense - North"/>
    <n v="-20585.7"/>
    <m/>
  </r>
  <r>
    <x v="283"/>
    <n v="6"/>
    <n v="2025"/>
    <n v="2"/>
    <s v="R&amp;D"/>
    <x v="0"/>
    <x v="1"/>
    <s v="R&amp;D Expense - West"/>
    <n v="-7152.34"/>
    <m/>
  </r>
  <r>
    <x v="283"/>
    <n v="6"/>
    <n v="2025"/>
    <n v="2"/>
    <s v="G&amp;A"/>
    <x v="0"/>
    <x v="2"/>
    <s v="G&amp;A Expense - North"/>
    <n v="-3004.03"/>
    <m/>
  </r>
  <r>
    <x v="283"/>
    <n v="6"/>
    <n v="2025"/>
    <n v="2"/>
    <s v="Services"/>
    <x v="0"/>
    <x v="3"/>
    <s v="Services Expense - South"/>
    <n v="-13608.83"/>
    <m/>
  </r>
  <r>
    <x v="284"/>
    <n v="6"/>
    <n v="2025"/>
    <n v="2"/>
    <s v="Sales"/>
    <x v="1"/>
    <x v="1"/>
    <s v="Sales Revenue - West"/>
    <n v="34418.42"/>
    <n v="32720.57"/>
  </r>
  <r>
    <x v="284"/>
    <n v="6"/>
    <n v="2025"/>
    <n v="2"/>
    <s v="G&amp;A"/>
    <x v="0"/>
    <x v="3"/>
    <s v="G&amp;A Expense - South"/>
    <n v="-3379.21"/>
    <m/>
  </r>
  <r>
    <x v="285"/>
    <n v="6"/>
    <n v="2025"/>
    <n v="2"/>
    <s v="Subscriptions"/>
    <x v="0"/>
    <x v="1"/>
    <s v="Subscriptions Expense - West"/>
    <n v="-14889.74"/>
    <m/>
  </r>
  <r>
    <x v="285"/>
    <n v="6"/>
    <n v="2025"/>
    <n v="2"/>
    <s v="Services"/>
    <x v="1"/>
    <x v="3"/>
    <s v="Services Revenue - South"/>
    <n v="22101.73"/>
    <n v="21867.919999999998"/>
  </r>
  <r>
    <x v="285"/>
    <n v="6"/>
    <n v="2025"/>
    <n v="2"/>
    <s v="Subscriptions"/>
    <x v="1"/>
    <x v="3"/>
    <s v="Subscriptions Revenue - South"/>
    <n v="28558.27"/>
    <n v="31325.13"/>
  </r>
  <r>
    <x v="285"/>
    <n v="6"/>
    <n v="2025"/>
    <n v="2"/>
    <s v="HR"/>
    <x v="0"/>
    <x v="3"/>
    <s v="HR Expense - South"/>
    <n v="-1887.02"/>
    <m/>
  </r>
  <r>
    <x v="286"/>
    <n v="6"/>
    <n v="2025"/>
    <n v="2"/>
    <s v="Services"/>
    <x v="0"/>
    <x v="2"/>
    <s v="Services Expense - North"/>
    <n v="-9255.1299999999992"/>
    <m/>
  </r>
  <r>
    <x v="287"/>
    <n v="6"/>
    <n v="2025"/>
    <n v="2"/>
    <s v="Operations"/>
    <x v="1"/>
    <x v="3"/>
    <s v="Operations Revenue - South"/>
    <n v="17446.27"/>
    <n v="16905.93"/>
  </r>
  <r>
    <x v="288"/>
    <n v="6"/>
    <n v="2025"/>
    <n v="2"/>
    <s v="Marketing"/>
    <x v="0"/>
    <x v="0"/>
    <s v="Marketing Expense - East"/>
    <n v="-4676.97"/>
    <m/>
  </r>
  <r>
    <x v="288"/>
    <n v="6"/>
    <n v="2025"/>
    <n v="2"/>
    <s v="Operations"/>
    <x v="0"/>
    <x v="0"/>
    <s v="Operations Expense - East"/>
    <n v="-29022.78"/>
    <m/>
  </r>
  <r>
    <x v="288"/>
    <n v="6"/>
    <n v="2025"/>
    <n v="2"/>
    <s v="HR"/>
    <x v="0"/>
    <x v="0"/>
    <s v="HR Expense - East"/>
    <n v="-7771.55"/>
    <m/>
  </r>
  <r>
    <x v="288"/>
    <n v="6"/>
    <n v="2025"/>
    <n v="2"/>
    <s v="R&amp;D"/>
    <x v="0"/>
    <x v="0"/>
    <s v="R&amp;D Expense - East"/>
    <n v="-15225.44"/>
    <m/>
  </r>
  <r>
    <x v="288"/>
    <n v="6"/>
    <n v="2025"/>
    <n v="2"/>
    <s v="Subscriptions"/>
    <x v="1"/>
    <x v="2"/>
    <s v="Subscriptions Revenue - North"/>
    <n v="20575.580000000002"/>
    <n v="20550.59"/>
  </r>
  <r>
    <x v="288"/>
    <n v="6"/>
    <n v="2025"/>
    <n v="2"/>
    <s v="R&amp;D"/>
    <x v="1"/>
    <x v="2"/>
    <s v="R&amp;D Revenue - North"/>
    <n v="14060.72"/>
    <n v="14029.96"/>
  </r>
  <r>
    <x v="288"/>
    <n v="6"/>
    <n v="2025"/>
    <n v="2"/>
    <s v="R&amp;D"/>
    <x v="0"/>
    <x v="2"/>
    <s v="R&amp;D Expense - North"/>
    <n v="-4868.76"/>
    <m/>
  </r>
  <r>
    <x v="288"/>
    <n v="6"/>
    <n v="2025"/>
    <n v="2"/>
    <s v="Marketing"/>
    <x v="0"/>
    <x v="3"/>
    <s v="Marketing Expense - South"/>
    <n v="-8309.86"/>
    <m/>
  </r>
  <r>
    <x v="289"/>
    <n v="6"/>
    <n v="2025"/>
    <n v="2"/>
    <s v="Marketing"/>
    <x v="0"/>
    <x v="2"/>
    <s v="Marketing Expense - North"/>
    <n v="-4757.1899999999996"/>
    <m/>
  </r>
  <r>
    <x v="289"/>
    <n v="6"/>
    <n v="2025"/>
    <n v="2"/>
    <s v="Operations"/>
    <x v="1"/>
    <x v="2"/>
    <s v="Operations Revenue - North"/>
    <n v="18990.22"/>
    <n v="19052.98"/>
  </r>
  <r>
    <x v="289"/>
    <n v="6"/>
    <n v="2025"/>
    <n v="2"/>
    <s v="HR"/>
    <x v="1"/>
    <x v="2"/>
    <s v="HR Revenue - North"/>
    <n v="3914.47"/>
    <n v="4208.74"/>
  </r>
  <r>
    <x v="290"/>
    <n v="6"/>
    <n v="2025"/>
    <n v="2"/>
    <s v="Services"/>
    <x v="1"/>
    <x v="0"/>
    <s v="Services Revenue - East"/>
    <n v="28219.439999999999"/>
    <n v="30664.67"/>
  </r>
  <r>
    <x v="290"/>
    <n v="6"/>
    <n v="2025"/>
    <n v="2"/>
    <s v="G&amp;A"/>
    <x v="1"/>
    <x v="1"/>
    <s v="G&amp;A Revenue - West"/>
    <n v="6441.06"/>
    <n v="6600.72"/>
  </r>
  <r>
    <x v="291"/>
    <n v="6"/>
    <n v="2025"/>
    <n v="2"/>
    <s v="Operations"/>
    <x v="1"/>
    <x v="0"/>
    <s v="Operations Revenue - East"/>
    <n v="19669.84"/>
    <n v="19776.77"/>
  </r>
  <r>
    <x v="292"/>
    <n v="6"/>
    <n v="2025"/>
    <n v="2"/>
    <s v="Services"/>
    <x v="0"/>
    <x v="0"/>
    <s v="Services Expense - East"/>
    <n v="-13549.7"/>
    <m/>
  </r>
  <r>
    <x v="292"/>
    <n v="6"/>
    <n v="2025"/>
    <n v="2"/>
    <s v="Subscriptions"/>
    <x v="0"/>
    <x v="0"/>
    <s v="Subscriptions Expense - East"/>
    <n v="-17374.62"/>
    <m/>
  </r>
  <r>
    <x v="292"/>
    <n v="6"/>
    <n v="2025"/>
    <n v="2"/>
    <s v="Services"/>
    <x v="1"/>
    <x v="1"/>
    <s v="Services Revenue - West"/>
    <n v="19877.919999999998"/>
    <n v="19480.830000000002"/>
  </r>
  <r>
    <x v="292"/>
    <n v="6"/>
    <n v="2025"/>
    <n v="2"/>
    <s v="Marketing"/>
    <x v="0"/>
    <x v="1"/>
    <s v="Marketing Expense - West"/>
    <n v="-3124.3"/>
    <m/>
  </r>
  <r>
    <x v="292"/>
    <n v="6"/>
    <n v="2025"/>
    <n v="2"/>
    <s v="G&amp;A"/>
    <x v="1"/>
    <x v="2"/>
    <s v="G&amp;A Revenue - North"/>
    <n v="7413.41"/>
    <n v="7490.2"/>
  </r>
  <r>
    <x v="292"/>
    <n v="6"/>
    <n v="2025"/>
    <n v="2"/>
    <s v="Marketing"/>
    <x v="1"/>
    <x v="3"/>
    <s v="Marketing Revenue - South"/>
    <n v="10056.469999999999"/>
    <n v="10721.74"/>
  </r>
  <r>
    <x v="293"/>
    <n v="6"/>
    <n v="2025"/>
    <n v="2"/>
    <s v="R&amp;D"/>
    <x v="0"/>
    <x v="3"/>
    <s v="R&amp;D Expense - South"/>
    <n v="-9242.84"/>
    <m/>
  </r>
  <r>
    <x v="294"/>
    <n v="6"/>
    <n v="2025"/>
    <n v="2"/>
    <s v="Operations"/>
    <x v="0"/>
    <x v="1"/>
    <s v="Operations Expense - West"/>
    <n v="-12736.27"/>
    <m/>
  </r>
  <r>
    <x v="295"/>
    <n v="7"/>
    <n v="2025"/>
    <n v="3"/>
    <s v="HR"/>
    <x v="0"/>
    <x v="0"/>
    <s v="HR Expense - East"/>
    <n v="-1298.6099999999999"/>
    <m/>
  </r>
  <r>
    <x v="295"/>
    <n v="7"/>
    <n v="2025"/>
    <n v="3"/>
    <s v="G&amp;A"/>
    <x v="1"/>
    <x v="0"/>
    <s v="G&amp;A Revenue - East"/>
    <n v="6912.91"/>
    <n v="7506.38"/>
  </r>
  <r>
    <x v="295"/>
    <n v="7"/>
    <n v="2025"/>
    <n v="3"/>
    <s v="Operations"/>
    <x v="1"/>
    <x v="3"/>
    <s v="Operations Revenue - South"/>
    <n v="15008.31"/>
    <n v="15014.92"/>
  </r>
  <r>
    <x v="295"/>
    <n v="7"/>
    <n v="2025"/>
    <n v="3"/>
    <s v="R&amp;D"/>
    <x v="1"/>
    <x v="3"/>
    <s v="R&amp;D Revenue - South"/>
    <n v="11690.99"/>
    <n v="11479.94"/>
  </r>
  <r>
    <x v="296"/>
    <n v="7"/>
    <n v="2025"/>
    <n v="3"/>
    <s v="Services"/>
    <x v="0"/>
    <x v="1"/>
    <s v="Services Expense - West"/>
    <n v="-24040.880000000001"/>
    <m/>
  </r>
  <r>
    <x v="296"/>
    <n v="7"/>
    <n v="2025"/>
    <n v="3"/>
    <s v="Subscriptions"/>
    <x v="0"/>
    <x v="3"/>
    <s v="Subscriptions Expense - South"/>
    <n v="-30716.39"/>
    <m/>
  </r>
  <r>
    <x v="297"/>
    <n v="7"/>
    <n v="2025"/>
    <n v="3"/>
    <s v="Operations"/>
    <x v="0"/>
    <x v="3"/>
    <s v="Operations Expense - South"/>
    <n v="-16507.93"/>
    <m/>
  </r>
  <r>
    <x v="298"/>
    <n v="7"/>
    <n v="2025"/>
    <n v="3"/>
    <s v="R&amp;D"/>
    <x v="0"/>
    <x v="1"/>
    <s v="R&amp;D Expense - West"/>
    <n v="-9451.23"/>
    <m/>
  </r>
  <r>
    <x v="298"/>
    <n v="7"/>
    <n v="2025"/>
    <n v="3"/>
    <s v="Sales"/>
    <x v="0"/>
    <x v="2"/>
    <s v="Sales Expense - North"/>
    <n v="-45663.41"/>
    <m/>
  </r>
  <r>
    <x v="298"/>
    <n v="7"/>
    <n v="2025"/>
    <n v="3"/>
    <s v="HR"/>
    <x v="1"/>
    <x v="2"/>
    <s v="HR Revenue - North"/>
    <n v="4252.29"/>
    <n v="4618.12"/>
  </r>
  <r>
    <x v="299"/>
    <n v="7"/>
    <n v="2025"/>
    <n v="3"/>
    <s v="Sales"/>
    <x v="0"/>
    <x v="1"/>
    <s v="Sales Expense - West"/>
    <n v="-36028.03"/>
    <m/>
  </r>
  <r>
    <x v="299"/>
    <n v="7"/>
    <n v="2025"/>
    <n v="3"/>
    <s v="Marketing"/>
    <x v="0"/>
    <x v="1"/>
    <s v="Marketing Expense - West"/>
    <n v="-14568.37"/>
    <m/>
  </r>
  <r>
    <x v="299"/>
    <n v="7"/>
    <n v="2025"/>
    <n v="3"/>
    <s v="Marketing"/>
    <x v="0"/>
    <x v="2"/>
    <s v="Marketing Expense - North"/>
    <n v="-4494.21"/>
    <m/>
  </r>
  <r>
    <x v="299"/>
    <n v="7"/>
    <n v="2025"/>
    <n v="3"/>
    <s v="Services"/>
    <x v="1"/>
    <x v="3"/>
    <s v="Services Revenue - South"/>
    <n v="18863.7"/>
    <n v="18651.11"/>
  </r>
  <r>
    <x v="299"/>
    <n v="7"/>
    <n v="2025"/>
    <n v="3"/>
    <s v="Services"/>
    <x v="0"/>
    <x v="3"/>
    <s v="Services Expense - South"/>
    <n v="-8048.02"/>
    <m/>
  </r>
  <r>
    <x v="299"/>
    <n v="7"/>
    <n v="2025"/>
    <n v="3"/>
    <s v="Marketing"/>
    <x v="0"/>
    <x v="3"/>
    <s v="Marketing Expense - South"/>
    <n v="-2735.26"/>
    <m/>
  </r>
  <r>
    <x v="300"/>
    <n v="7"/>
    <n v="2025"/>
    <n v="3"/>
    <s v="Operations"/>
    <x v="1"/>
    <x v="0"/>
    <s v="Operations Revenue - East"/>
    <n v="20893.37"/>
    <n v="20813.95"/>
  </r>
  <r>
    <x v="300"/>
    <n v="7"/>
    <n v="2025"/>
    <n v="3"/>
    <s v="Sales"/>
    <x v="0"/>
    <x v="3"/>
    <s v="Sales Expense - South"/>
    <n v="-41840.43"/>
    <m/>
  </r>
  <r>
    <x v="301"/>
    <n v="7"/>
    <n v="2025"/>
    <n v="3"/>
    <s v="Marketing"/>
    <x v="0"/>
    <x v="0"/>
    <s v="Marketing Expense - East"/>
    <n v="-5205.49"/>
    <m/>
  </r>
  <r>
    <x v="301"/>
    <n v="7"/>
    <n v="2025"/>
    <n v="3"/>
    <s v="Subscriptions"/>
    <x v="0"/>
    <x v="1"/>
    <s v="Subscriptions Expense - West"/>
    <n v="-14057.02"/>
    <m/>
  </r>
  <r>
    <x v="301"/>
    <n v="7"/>
    <n v="2025"/>
    <n v="3"/>
    <s v="Sales"/>
    <x v="1"/>
    <x v="3"/>
    <s v="Sales Revenue - South"/>
    <n v="32490.45"/>
    <n v="35243.550000000003"/>
  </r>
  <r>
    <x v="302"/>
    <n v="7"/>
    <n v="2025"/>
    <n v="3"/>
    <s v="Marketing"/>
    <x v="1"/>
    <x v="0"/>
    <s v="Marketing Revenue - East"/>
    <n v="9403.74"/>
    <n v="9159.67"/>
  </r>
  <r>
    <x v="303"/>
    <n v="7"/>
    <n v="2025"/>
    <n v="3"/>
    <s v="Sales"/>
    <x v="1"/>
    <x v="2"/>
    <s v="Sales Revenue - North"/>
    <n v="30095.05"/>
    <n v="29484.06"/>
  </r>
  <r>
    <x v="303"/>
    <n v="7"/>
    <n v="2025"/>
    <n v="3"/>
    <s v="R&amp;D"/>
    <x v="0"/>
    <x v="2"/>
    <s v="R&amp;D Expense - North"/>
    <n v="-15525.44"/>
    <m/>
  </r>
  <r>
    <x v="304"/>
    <n v="7"/>
    <n v="2025"/>
    <n v="3"/>
    <s v="Operations"/>
    <x v="0"/>
    <x v="0"/>
    <s v="Operations Expense - East"/>
    <n v="-25749.69"/>
    <m/>
  </r>
  <r>
    <x v="304"/>
    <n v="7"/>
    <n v="2025"/>
    <n v="3"/>
    <s v="Services"/>
    <x v="1"/>
    <x v="1"/>
    <s v="Services Revenue - West"/>
    <n v="19711.900000000001"/>
    <n v="21563.57"/>
  </r>
  <r>
    <x v="305"/>
    <n v="7"/>
    <n v="2025"/>
    <n v="3"/>
    <s v="R&amp;D"/>
    <x v="1"/>
    <x v="0"/>
    <s v="R&amp;D Revenue - East"/>
    <n v="12868.33"/>
    <n v="13701.96"/>
  </r>
  <r>
    <x v="305"/>
    <n v="7"/>
    <n v="2025"/>
    <n v="3"/>
    <s v="Operations"/>
    <x v="1"/>
    <x v="1"/>
    <s v="Operations Revenue - West"/>
    <n v="19230.060000000001"/>
    <n v="20043.98"/>
  </r>
  <r>
    <x v="305"/>
    <n v="7"/>
    <n v="2025"/>
    <n v="3"/>
    <s v="G&amp;A"/>
    <x v="1"/>
    <x v="1"/>
    <s v="G&amp;A Revenue - West"/>
    <n v="5768.41"/>
    <n v="5528"/>
  </r>
  <r>
    <x v="306"/>
    <n v="7"/>
    <n v="2025"/>
    <n v="3"/>
    <s v="Services"/>
    <x v="0"/>
    <x v="0"/>
    <s v="Services Expense - East"/>
    <n v="-14809.39"/>
    <m/>
  </r>
  <r>
    <x v="306"/>
    <n v="7"/>
    <n v="2025"/>
    <n v="3"/>
    <s v="Subscriptions"/>
    <x v="1"/>
    <x v="0"/>
    <s v="Subscriptions Revenue - East"/>
    <n v="32969.01"/>
    <n v="33885.01"/>
  </r>
  <r>
    <x v="306"/>
    <n v="7"/>
    <n v="2025"/>
    <n v="3"/>
    <s v="Subscriptions"/>
    <x v="1"/>
    <x v="3"/>
    <s v="Subscriptions Revenue - South"/>
    <n v="24639.86"/>
    <n v="26200.76"/>
  </r>
  <r>
    <x v="306"/>
    <n v="7"/>
    <n v="2025"/>
    <n v="3"/>
    <s v="Marketing"/>
    <x v="1"/>
    <x v="3"/>
    <s v="Marketing Revenue - South"/>
    <n v="7057.19"/>
    <n v="7159.73"/>
  </r>
  <r>
    <x v="306"/>
    <n v="7"/>
    <n v="2025"/>
    <n v="3"/>
    <s v="G&amp;A"/>
    <x v="0"/>
    <x v="3"/>
    <s v="G&amp;A Expense - South"/>
    <n v="-3955.89"/>
    <m/>
  </r>
  <r>
    <x v="307"/>
    <n v="7"/>
    <n v="2025"/>
    <n v="3"/>
    <s v="Marketing"/>
    <x v="1"/>
    <x v="1"/>
    <s v="Marketing Revenue - West"/>
    <n v="10504.34"/>
    <n v="10411.06"/>
  </r>
  <r>
    <x v="307"/>
    <n v="7"/>
    <n v="2025"/>
    <n v="3"/>
    <s v="HR"/>
    <x v="1"/>
    <x v="1"/>
    <s v="HR Revenue - West"/>
    <n v="5138.29"/>
    <n v="4848.72"/>
  </r>
  <r>
    <x v="307"/>
    <n v="7"/>
    <n v="2025"/>
    <n v="3"/>
    <s v="G&amp;A"/>
    <x v="0"/>
    <x v="2"/>
    <s v="G&amp;A Expense - North"/>
    <n v="-2798.46"/>
    <m/>
  </r>
  <r>
    <x v="308"/>
    <n v="7"/>
    <n v="2025"/>
    <n v="3"/>
    <s v="G&amp;A"/>
    <x v="0"/>
    <x v="0"/>
    <s v="G&amp;A Expense - East"/>
    <n v="-9341.7000000000007"/>
    <m/>
  </r>
  <r>
    <x v="309"/>
    <n v="7"/>
    <n v="2025"/>
    <n v="3"/>
    <s v="HR"/>
    <x v="1"/>
    <x v="0"/>
    <s v="HR Revenue - East"/>
    <n v="4384.3500000000004"/>
    <n v="4219.41"/>
  </r>
  <r>
    <x v="309"/>
    <n v="7"/>
    <n v="2025"/>
    <n v="3"/>
    <s v="Services"/>
    <x v="1"/>
    <x v="2"/>
    <s v="Services Revenue - North"/>
    <n v="19644.16"/>
    <n v="20961.36"/>
  </r>
  <r>
    <x v="309"/>
    <n v="7"/>
    <n v="2025"/>
    <n v="3"/>
    <s v="Services"/>
    <x v="0"/>
    <x v="2"/>
    <s v="Services Expense - North"/>
    <n v="-7567.69"/>
    <m/>
  </r>
  <r>
    <x v="310"/>
    <n v="7"/>
    <n v="2025"/>
    <n v="3"/>
    <s v="HR"/>
    <x v="0"/>
    <x v="1"/>
    <s v="HR Expense - West"/>
    <n v="-5857.25"/>
    <m/>
  </r>
  <r>
    <x v="311"/>
    <n v="7"/>
    <n v="2025"/>
    <n v="3"/>
    <s v="Subscriptions"/>
    <x v="1"/>
    <x v="1"/>
    <s v="Subscriptions Revenue - West"/>
    <n v="30876.68"/>
    <n v="30440.06"/>
  </r>
  <r>
    <x v="311"/>
    <n v="7"/>
    <n v="2025"/>
    <n v="3"/>
    <s v="G&amp;A"/>
    <x v="1"/>
    <x v="3"/>
    <s v="G&amp;A Revenue - South"/>
    <n v="4932.8"/>
    <n v="5352.21"/>
  </r>
  <r>
    <x v="312"/>
    <n v="7"/>
    <n v="2025"/>
    <n v="3"/>
    <s v="R&amp;D"/>
    <x v="0"/>
    <x v="0"/>
    <s v="R&amp;D Expense - East"/>
    <n v="-8192.06"/>
    <m/>
  </r>
  <r>
    <x v="312"/>
    <n v="7"/>
    <n v="2025"/>
    <n v="3"/>
    <s v="Marketing"/>
    <x v="1"/>
    <x v="2"/>
    <s v="Marketing Revenue - North"/>
    <n v="7420.53"/>
    <n v="7068.38"/>
  </r>
  <r>
    <x v="312"/>
    <n v="7"/>
    <n v="2025"/>
    <n v="3"/>
    <s v="HR"/>
    <x v="0"/>
    <x v="2"/>
    <s v="HR Expense - North"/>
    <n v="-2142.31"/>
    <m/>
  </r>
  <r>
    <x v="313"/>
    <n v="7"/>
    <n v="2025"/>
    <n v="3"/>
    <s v="Sales"/>
    <x v="1"/>
    <x v="0"/>
    <s v="Sales Revenue - East"/>
    <n v="30189.47"/>
    <n v="31739.15"/>
  </r>
  <r>
    <x v="313"/>
    <n v="7"/>
    <n v="2025"/>
    <n v="3"/>
    <s v="G&amp;A"/>
    <x v="1"/>
    <x v="2"/>
    <s v="G&amp;A Revenue - North"/>
    <n v="7090.09"/>
    <n v="7522.68"/>
  </r>
  <r>
    <x v="313"/>
    <n v="7"/>
    <n v="2025"/>
    <n v="3"/>
    <s v="HR"/>
    <x v="1"/>
    <x v="3"/>
    <s v="HR Revenue - South"/>
    <n v="3596.32"/>
    <n v="3883.75"/>
  </r>
  <r>
    <x v="314"/>
    <n v="7"/>
    <n v="2025"/>
    <n v="3"/>
    <s v="Sales"/>
    <x v="0"/>
    <x v="0"/>
    <s v="Sales Expense - East"/>
    <n v="-43891.09"/>
    <m/>
  </r>
  <r>
    <x v="314"/>
    <n v="7"/>
    <n v="2025"/>
    <n v="3"/>
    <s v="R&amp;D"/>
    <x v="1"/>
    <x v="2"/>
    <s v="R&amp;D Revenue - North"/>
    <n v="10362.92"/>
    <n v="10503.43"/>
  </r>
  <r>
    <x v="315"/>
    <n v="7"/>
    <n v="2025"/>
    <n v="3"/>
    <s v="R&amp;D"/>
    <x v="0"/>
    <x v="3"/>
    <s v="R&amp;D Expense - South"/>
    <n v="-9182.01"/>
    <m/>
  </r>
  <r>
    <x v="316"/>
    <n v="7"/>
    <n v="2025"/>
    <n v="3"/>
    <s v="G&amp;A"/>
    <x v="0"/>
    <x v="1"/>
    <s v="G&amp;A Expense - West"/>
    <n v="-3104.82"/>
    <m/>
  </r>
  <r>
    <x v="317"/>
    <n v="7"/>
    <n v="2025"/>
    <n v="3"/>
    <s v="HR"/>
    <x v="0"/>
    <x v="3"/>
    <s v="HR Expense - South"/>
    <n v="-2761.46"/>
    <m/>
  </r>
  <r>
    <x v="318"/>
    <n v="7"/>
    <n v="2025"/>
    <n v="3"/>
    <s v="Services"/>
    <x v="1"/>
    <x v="0"/>
    <s v="Services Revenue - East"/>
    <n v="27527.45"/>
    <n v="27571.75"/>
  </r>
  <r>
    <x v="318"/>
    <n v="7"/>
    <n v="2025"/>
    <n v="3"/>
    <s v="R&amp;D"/>
    <x v="1"/>
    <x v="1"/>
    <s v="R&amp;D Revenue - West"/>
    <n v="12572.35"/>
    <n v="12759.62"/>
  </r>
  <r>
    <x v="318"/>
    <n v="7"/>
    <n v="2025"/>
    <n v="3"/>
    <s v="Subscriptions"/>
    <x v="0"/>
    <x v="2"/>
    <s v="Subscriptions Expense - North"/>
    <n v="-14636.02"/>
    <m/>
  </r>
  <r>
    <x v="319"/>
    <n v="7"/>
    <n v="2025"/>
    <n v="3"/>
    <s v="Sales"/>
    <x v="1"/>
    <x v="1"/>
    <s v="Sales Revenue - West"/>
    <n v="25351.52"/>
    <n v="24596.44"/>
  </r>
  <r>
    <x v="320"/>
    <n v="7"/>
    <n v="2025"/>
    <n v="3"/>
    <s v="Subscriptions"/>
    <x v="0"/>
    <x v="0"/>
    <s v="Subscriptions Expense - East"/>
    <n v="-12591.18"/>
    <m/>
  </r>
  <r>
    <x v="320"/>
    <n v="7"/>
    <n v="2025"/>
    <n v="3"/>
    <s v="Subscriptions"/>
    <x v="1"/>
    <x v="2"/>
    <s v="Subscriptions Revenue - North"/>
    <n v="28594.79"/>
    <n v="28901.19"/>
  </r>
  <r>
    <x v="320"/>
    <n v="7"/>
    <n v="2025"/>
    <n v="3"/>
    <s v="Operations"/>
    <x v="1"/>
    <x v="2"/>
    <s v="Operations Revenue - North"/>
    <n v="17124.900000000001"/>
    <n v="16320.9"/>
  </r>
  <r>
    <x v="320"/>
    <n v="7"/>
    <n v="2025"/>
    <n v="3"/>
    <s v="Operations"/>
    <x v="0"/>
    <x v="2"/>
    <s v="Operations Expense - North"/>
    <n v="-6799.75"/>
    <m/>
  </r>
  <r>
    <x v="321"/>
    <n v="7"/>
    <n v="2025"/>
    <n v="3"/>
    <s v="Operations"/>
    <x v="0"/>
    <x v="1"/>
    <s v="Operations Expense - West"/>
    <n v="-9369.85"/>
    <m/>
  </r>
  <r>
    <x v="322"/>
    <n v="8"/>
    <n v="2025"/>
    <n v="3"/>
    <s v="Services"/>
    <x v="0"/>
    <x v="0"/>
    <s v="Services Expense - East"/>
    <n v="-18314.61"/>
    <m/>
  </r>
  <r>
    <x v="322"/>
    <n v="8"/>
    <n v="2025"/>
    <n v="3"/>
    <s v="G&amp;A"/>
    <x v="0"/>
    <x v="0"/>
    <s v="G&amp;A Expense - East"/>
    <n v="-3849.54"/>
    <m/>
  </r>
  <r>
    <x v="323"/>
    <n v="8"/>
    <n v="2025"/>
    <n v="3"/>
    <s v="Sales"/>
    <x v="0"/>
    <x v="0"/>
    <s v="Sales Expense - East"/>
    <n v="-15632.61"/>
    <m/>
  </r>
  <r>
    <x v="323"/>
    <n v="8"/>
    <n v="2025"/>
    <n v="3"/>
    <s v="Operations"/>
    <x v="0"/>
    <x v="0"/>
    <s v="Operations Expense - East"/>
    <n v="-21954.12"/>
    <m/>
  </r>
  <r>
    <x v="323"/>
    <n v="8"/>
    <n v="2025"/>
    <n v="3"/>
    <s v="Operations"/>
    <x v="0"/>
    <x v="1"/>
    <s v="Operations Expense - West"/>
    <n v="-6951.15"/>
    <m/>
  </r>
  <r>
    <x v="323"/>
    <n v="8"/>
    <n v="2025"/>
    <n v="3"/>
    <s v="Services"/>
    <x v="1"/>
    <x v="3"/>
    <s v="Services Revenue - South"/>
    <n v="19214.310000000001"/>
    <n v="19294.97"/>
  </r>
  <r>
    <x v="323"/>
    <n v="8"/>
    <n v="2025"/>
    <n v="3"/>
    <s v="Marketing"/>
    <x v="0"/>
    <x v="3"/>
    <s v="Marketing Expense - South"/>
    <n v="-5433.13"/>
    <m/>
  </r>
  <r>
    <x v="324"/>
    <n v="8"/>
    <n v="2025"/>
    <n v="3"/>
    <s v="R&amp;D"/>
    <x v="1"/>
    <x v="2"/>
    <s v="R&amp;D Revenue - North"/>
    <n v="12570.27"/>
    <n v="12569.66"/>
  </r>
  <r>
    <x v="325"/>
    <n v="8"/>
    <n v="2025"/>
    <n v="3"/>
    <s v="Sales"/>
    <x v="0"/>
    <x v="1"/>
    <s v="Sales Expense - West"/>
    <n v="-34156"/>
    <m/>
  </r>
  <r>
    <x v="325"/>
    <n v="8"/>
    <n v="2025"/>
    <n v="3"/>
    <s v="Services"/>
    <x v="0"/>
    <x v="1"/>
    <s v="Services Expense - West"/>
    <n v="-11918.18"/>
    <m/>
  </r>
  <r>
    <x v="325"/>
    <n v="8"/>
    <n v="2025"/>
    <n v="3"/>
    <s v="R&amp;D"/>
    <x v="0"/>
    <x v="1"/>
    <s v="R&amp;D Expense - West"/>
    <n v="-20867.189999999999"/>
    <m/>
  </r>
  <r>
    <x v="326"/>
    <n v="8"/>
    <n v="2025"/>
    <n v="3"/>
    <s v="Marketing"/>
    <x v="1"/>
    <x v="1"/>
    <s v="Marketing Revenue - West"/>
    <n v="8241.27"/>
    <n v="9046.2099999999991"/>
  </r>
  <r>
    <x v="326"/>
    <n v="8"/>
    <n v="2025"/>
    <n v="3"/>
    <s v="Services"/>
    <x v="0"/>
    <x v="2"/>
    <s v="Services Expense - North"/>
    <n v="-29552.65"/>
    <m/>
  </r>
  <r>
    <x v="327"/>
    <n v="8"/>
    <n v="2025"/>
    <n v="3"/>
    <s v="Subscriptions"/>
    <x v="1"/>
    <x v="2"/>
    <s v="Subscriptions Revenue - North"/>
    <n v="27076.21"/>
    <n v="29267.95"/>
  </r>
  <r>
    <x v="327"/>
    <n v="8"/>
    <n v="2025"/>
    <n v="3"/>
    <s v="G&amp;A"/>
    <x v="0"/>
    <x v="2"/>
    <s v="G&amp;A Expense - North"/>
    <n v="-3748.44"/>
    <m/>
  </r>
  <r>
    <x v="328"/>
    <n v="8"/>
    <n v="2025"/>
    <n v="3"/>
    <s v="HR"/>
    <x v="1"/>
    <x v="0"/>
    <s v="HR Revenue - East"/>
    <n v="4940.37"/>
    <n v="4857.74"/>
  </r>
  <r>
    <x v="328"/>
    <n v="8"/>
    <n v="2025"/>
    <n v="3"/>
    <s v="Subscriptions"/>
    <x v="1"/>
    <x v="1"/>
    <s v="Subscriptions Revenue - West"/>
    <n v="28234.95"/>
    <n v="28295.14"/>
  </r>
  <r>
    <x v="328"/>
    <n v="8"/>
    <n v="2025"/>
    <n v="3"/>
    <s v="R&amp;D"/>
    <x v="1"/>
    <x v="1"/>
    <s v="R&amp;D Revenue - West"/>
    <n v="13716.3"/>
    <n v="13966.87"/>
  </r>
  <r>
    <x v="328"/>
    <n v="8"/>
    <n v="2025"/>
    <n v="3"/>
    <s v="Operations"/>
    <x v="0"/>
    <x v="2"/>
    <s v="Operations Expense - North"/>
    <n v="-18980.82"/>
    <m/>
  </r>
  <r>
    <x v="328"/>
    <n v="8"/>
    <n v="2025"/>
    <n v="3"/>
    <s v="HR"/>
    <x v="0"/>
    <x v="2"/>
    <s v="HR Expense - North"/>
    <n v="-4657.3900000000003"/>
    <m/>
  </r>
  <r>
    <x v="328"/>
    <n v="8"/>
    <n v="2025"/>
    <n v="3"/>
    <s v="R&amp;D"/>
    <x v="0"/>
    <x v="3"/>
    <s v="R&amp;D Expense - South"/>
    <n v="-18057.27"/>
    <m/>
  </r>
  <r>
    <x v="329"/>
    <n v="8"/>
    <n v="2025"/>
    <n v="3"/>
    <s v="Subscriptions"/>
    <x v="0"/>
    <x v="1"/>
    <s v="Subscriptions Expense - West"/>
    <n v="-30013.27"/>
    <m/>
  </r>
  <r>
    <x v="329"/>
    <n v="8"/>
    <n v="2025"/>
    <n v="3"/>
    <s v="Sales"/>
    <x v="1"/>
    <x v="3"/>
    <s v="Sales Revenue - South"/>
    <n v="21431.51"/>
    <n v="22740.01"/>
  </r>
  <r>
    <x v="330"/>
    <n v="8"/>
    <n v="2025"/>
    <n v="3"/>
    <s v="Marketing"/>
    <x v="0"/>
    <x v="0"/>
    <s v="Marketing Expense - East"/>
    <n v="-5548.37"/>
    <m/>
  </r>
  <r>
    <x v="330"/>
    <n v="8"/>
    <n v="2025"/>
    <n v="3"/>
    <s v="R&amp;D"/>
    <x v="1"/>
    <x v="0"/>
    <s v="R&amp;D Revenue - East"/>
    <n v="14699.25"/>
    <n v="15037.65"/>
  </r>
  <r>
    <x v="330"/>
    <n v="8"/>
    <n v="2025"/>
    <n v="3"/>
    <s v="HR"/>
    <x v="0"/>
    <x v="1"/>
    <s v="HR Expense - West"/>
    <n v="-3248.29"/>
    <m/>
  </r>
  <r>
    <x v="330"/>
    <n v="8"/>
    <n v="2025"/>
    <n v="3"/>
    <s v="R&amp;D"/>
    <x v="1"/>
    <x v="3"/>
    <s v="R&amp;D Revenue - South"/>
    <n v="11842.16"/>
    <n v="12876.6"/>
  </r>
  <r>
    <x v="330"/>
    <n v="8"/>
    <n v="2025"/>
    <n v="3"/>
    <s v="G&amp;A"/>
    <x v="1"/>
    <x v="3"/>
    <s v="G&amp;A Revenue - South"/>
    <n v="6053.18"/>
    <n v="6386.38"/>
  </r>
  <r>
    <x v="330"/>
    <n v="8"/>
    <n v="2025"/>
    <n v="3"/>
    <s v="G&amp;A"/>
    <x v="0"/>
    <x v="3"/>
    <s v="G&amp;A Expense - South"/>
    <n v="-3582.5"/>
    <m/>
  </r>
  <r>
    <x v="331"/>
    <n v="8"/>
    <n v="2025"/>
    <n v="3"/>
    <s v="Subscriptions"/>
    <x v="0"/>
    <x v="0"/>
    <s v="Subscriptions Expense - East"/>
    <n v="-12679"/>
    <m/>
  </r>
  <r>
    <x v="332"/>
    <n v="8"/>
    <n v="2025"/>
    <n v="3"/>
    <s v="HR"/>
    <x v="1"/>
    <x v="1"/>
    <s v="HR Revenue - West"/>
    <n v="5547.8"/>
    <n v="5979.56"/>
  </r>
  <r>
    <x v="332"/>
    <n v="8"/>
    <n v="2025"/>
    <n v="3"/>
    <s v="G&amp;A"/>
    <x v="1"/>
    <x v="1"/>
    <s v="G&amp;A Revenue - West"/>
    <n v="4695.26"/>
    <n v="4983.21"/>
  </r>
  <r>
    <x v="332"/>
    <n v="8"/>
    <n v="2025"/>
    <n v="3"/>
    <s v="Operations"/>
    <x v="1"/>
    <x v="3"/>
    <s v="Operations Revenue - South"/>
    <n v="15864.64"/>
    <n v="16513.150000000001"/>
  </r>
  <r>
    <x v="333"/>
    <n v="8"/>
    <n v="2025"/>
    <n v="3"/>
    <s v="HR"/>
    <x v="0"/>
    <x v="0"/>
    <s v="HR Expense - East"/>
    <n v="-6241.5"/>
    <m/>
  </r>
  <r>
    <x v="333"/>
    <n v="8"/>
    <n v="2025"/>
    <n v="3"/>
    <s v="R&amp;D"/>
    <x v="0"/>
    <x v="0"/>
    <s v="R&amp;D Expense - East"/>
    <n v="-11248.47"/>
    <m/>
  </r>
  <r>
    <x v="333"/>
    <n v="8"/>
    <n v="2025"/>
    <n v="3"/>
    <s v="G&amp;A"/>
    <x v="1"/>
    <x v="0"/>
    <s v="G&amp;A Revenue - East"/>
    <n v="5555.29"/>
    <n v="5490.73"/>
  </r>
  <r>
    <x v="334"/>
    <n v="8"/>
    <n v="2025"/>
    <n v="3"/>
    <s v="Marketing"/>
    <x v="0"/>
    <x v="2"/>
    <s v="Marketing Expense - North"/>
    <n v="-11555.94"/>
    <m/>
  </r>
  <r>
    <x v="334"/>
    <n v="8"/>
    <n v="2025"/>
    <n v="3"/>
    <s v="HR"/>
    <x v="1"/>
    <x v="2"/>
    <s v="HR Revenue - North"/>
    <n v="4122.16"/>
    <n v="3973.44"/>
  </r>
  <r>
    <x v="335"/>
    <n v="8"/>
    <n v="2025"/>
    <n v="3"/>
    <s v="Sales"/>
    <x v="1"/>
    <x v="0"/>
    <s v="Sales Revenue - East"/>
    <n v="32782.449999999997"/>
    <n v="31165.02"/>
  </r>
  <r>
    <x v="335"/>
    <n v="8"/>
    <n v="2025"/>
    <n v="3"/>
    <s v="Services"/>
    <x v="1"/>
    <x v="0"/>
    <s v="Services Revenue - East"/>
    <n v="23904.5"/>
    <n v="25998.34"/>
  </r>
  <r>
    <x v="336"/>
    <n v="8"/>
    <n v="2025"/>
    <n v="3"/>
    <s v="Operations"/>
    <x v="1"/>
    <x v="1"/>
    <s v="Operations Revenue - West"/>
    <n v="12587.11"/>
    <n v="11987.48"/>
  </r>
  <r>
    <x v="336"/>
    <n v="8"/>
    <n v="2025"/>
    <n v="3"/>
    <s v="G&amp;A"/>
    <x v="0"/>
    <x v="1"/>
    <s v="G&amp;A Expense - West"/>
    <n v="-5188.17"/>
    <m/>
  </r>
  <r>
    <x v="337"/>
    <n v="8"/>
    <n v="2025"/>
    <n v="3"/>
    <s v="R&amp;D"/>
    <x v="0"/>
    <x v="2"/>
    <s v="R&amp;D Expense - North"/>
    <n v="-7063"/>
    <m/>
  </r>
  <r>
    <x v="337"/>
    <n v="8"/>
    <n v="2025"/>
    <n v="3"/>
    <s v="Operations"/>
    <x v="0"/>
    <x v="3"/>
    <s v="Operations Expense - South"/>
    <n v="-10589.51"/>
    <m/>
  </r>
  <r>
    <x v="337"/>
    <n v="8"/>
    <n v="2025"/>
    <n v="3"/>
    <s v="HR"/>
    <x v="1"/>
    <x v="3"/>
    <s v="HR Revenue - South"/>
    <n v="3473.76"/>
    <n v="3630.75"/>
  </r>
  <r>
    <x v="338"/>
    <n v="8"/>
    <n v="2025"/>
    <n v="3"/>
    <s v="Marketing"/>
    <x v="1"/>
    <x v="2"/>
    <s v="Marketing Revenue - North"/>
    <n v="9202.57"/>
    <n v="9340.6200000000008"/>
  </r>
  <r>
    <x v="339"/>
    <n v="8"/>
    <n v="2025"/>
    <n v="3"/>
    <s v="Services"/>
    <x v="1"/>
    <x v="1"/>
    <s v="Services Revenue - West"/>
    <n v="17642.28"/>
    <n v="16771.55"/>
  </r>
  <r>
    <x v="340"/>
    <n v="8"/>
    <n v="2025"/>
    <n v="3"/>
    <s v="Sales"/>
    <x v="0"/>
    <x v="2"/>
    <s v="Sales Expense - North"/>
    <n v="-26409.17"/>
    <m/>
  </r>
  <r>
    <x v="340"/>
    <n v="8"/>
    <n v="2025"/>
    <n v="3"/>
    <s v="Services"/>
    <x v="0"/>
    <x v="3"/>
    <s v="Services Expense - South"/>
    <n v="-15314.15"/>
    <m/>
  </r>
  <r>
    <x v="341"/>
    <n v="8"/>
    <n v="2025"/>
    <n v="3"/>
    <s v="Marketing"/>
    <x v="0"/>
    <x v="1"/>
    <s v="Marketing Expense - West"/>
    <n v="-4707.42"/>
    <m/>
  </r>
  <r>
    <x v="342"/>
    <n v="8"/>
    <n v="2025"/>
    <n v="3"/>
    <s v="HR"/>
    <x v="0"/>
    <x v="3"/>
    <s v="HR Expense - South"/>
    <n v="-1231.21"/>
    <m/>
  </r>
  <r>
    <x v="343"/>
    <n v="8"/>
    <n v="2025"/>
    <n v="3"/>
    <s v="Sales"/>
    <x v="1"/>
    <x v="2"/>
    <s v="Sales Revenue - North"/>
    <n v="22616.26"/>
    <n v="21758.66"/>
  </r>
  <r>
    <x v="343"/>
    <n v="8"/>
    <n v="2025"/>
    <n v="3"/>
    <s v="Marketing"/>
    <x v="1"/>
    <x v="3"/>
    <s v="Marketing Revenue - South"/>
    <n v="7765.96"/>
    <n v="8513.34"/>
  </r>
  <r>
    <x v="344"/>
    <n v="8"/>
    <n v="2025"/>
    <n v="3"/>
    <s v="Subscriptions"/>
    <x v="1"/>
    <x v="0"/>
    <s v="Subscriptions Revenue - East"/>
    <n v="27716.69"/>
    <n v="29343.55"/>
  </r>
  <r>
    <x v="344"/>
    <n v="8"/>
    <n v="2025"/>
    <n v="3"/>
    <s v="Sales"/>
    <x v="1"/>
    <x v="1"/>
    <s v="Sales Revenue - West"/>
    <n v="23971.14"/>
    <n v="23153.67"/>
  </r>
  <r>
    <x v="344"/>
    <n v="8"/>
    <n v="2025"/>
    <n v="3"/>
    <s v="G&amp;A"/>
    <x v="1"/>
    <x v="2"/>
    <s v="G&amp;A Revenue - North"/>
    <n v="5469.51"/>
    <n v="5190.3599999999997"/>
  </r>
  <r>
    <x v="344"/>
    <n v="8"/>
    <n v="2025"/>
    <n v="3"/>
    <s v="Subscriptions"/>
    <x v="1"/>
    <x v="3"/>
    <s v="Subscriptions Revenue - South"/>
    <n v="17593.169999999998"/>
    <n v="19163.78"/>
  </r>
  <r>
    <x v="345"/>
    <n v="8"/>
    <n v="2025"/>
    <n v="3"/>
    <s v="Services"/>
    <x v="1"/>
    <x v="2"/>
    <s v="Services Revenue - North"/>
    <n v="22447.4"/>
    <n v="21083.85"/>
  </r>
  <r>
    <x v="345"/>
    <n v="8"/>
    <n v="2025"/>
    <n v="3"/>
    <s v="Operations"/>
    <x v="1"/>
    <x v="2"/>
    <s v="Operations Revenue - North"/>
    <n v="14386.58"/>
    <n v="13513.31"/>
  </r>
  <r>
    <x v="345"/>
    <n v="8"/>
    <n v="2025"/>
    <n v="3"/>
    <s v="Subscriptions"/>
    <x v="0"/>
    <x v="3"/>
    <s v="Subscriptions Expense - South"/>
    <n v="-25996.58"/>
    <m/>
  </r>
  <r>
    <x v="346"/>
    <n v="8"/>
    <n v="2025"/>
    <n v="3"/>
    <s v="Marketing"/>
    <x v="1"/>
    <x v="0"/>
    <s v="Marketing Revenue - East"/>
    <n v="8425.09"/>
    <n v="8256.0499999999993"/>
  </r>
  <r>
    <x v="347"/>
    <n v="8"/>
    <n v="2025"/>
    <n v="3"/>
    <s v="Operations"/>
    <x v="1"/>
    <x v="0"/>
    <s v="Operations Revenue - East"/>
    <n v="16053.92"/>
    <n v="17618.04"/>
  </r>
  <r>
    <x v="347"/>
    <n v="8"/>
    <n v="2025"/>
    <n v="3"/>
    <s v="Subscriptions"/>
    <x v="0"/>
    <x v="2"/>
    <s v="Subscriptions Expense - North"/>
    <n v="-20790.580000000002"/>
    <m/>
  </r>
  <r>
    <x v="347"/>
    <n v="8"/>
    <n v="2025"/>
    <n v="3"/>
    <s v="Sales"/>
    <x v="0"/>
    <x v="3"/>
    <s v="Sales Expense - South"/>
    <n v="-29590.16"/>
    <m/>
  </r>
  <r>
    <x v="348"/>
    <n v="9"/>
    <n v="2025"/>
    <n v="3"/>
    <s v="Operations"/>
    <x v="0"/>
    <x v="0"/>
    <s v="Operations Expense - East"/>
    <n v="-15210.45"/>
    <m/>
  </r>
  <r>
    <x v="349"/>
    <n v="9"/>
    <n v="2025"/>
    <n v="3"/>
    <s v="Subscriptions"/>
    <x v="1"/>
    <x v="2"/>
    <s v="Subscriptions Revenue - North"/>
    <n v="27620.26"/>
    <n v="25825"/>
  </r>
  <r>
    <x v="349"/>
    <n v="9"/>
    <n v="2025"/>
    <n v="3"/>
    <s v="Operations"/>
    <x v="1"/>
    <x v="2"/>
    <s v="Operations Revenue - North"/>
    <n v="19153.75"/>
    <n v="21031.42"/>
  </r>
  <r>
    <x v="349"/>
    <n v="9"/>
    <n v="2025"/>
    <n v="3"/>
    <s v="Sales"/>
    <x v="0"/>
    <x v="3"/>
    <s v="Sales Expense - South"/>
    <n v="-10062.18"/>
    <m/>
  </r>
  <r>
    <x v="350"/>
    <n v="9"/>
    <n v="2025"/>
    <n v="3"/>
    <s v="HR"/>
    <x v="0"/>
    <x v="0"/>
    <s v="HR Expense - East"/>
    <n v="-7011.74"/>
    <m/>
  </r>
  <r>
    <x v="350"/>
    <n v="9"/>
    <n v="2025"/>
    <n v="3"/>
    <s v="G&amp;A"/>
    <x v="0"/>
    <x v="1"/>
    <s v="G&amp;A Expense - West"/>
    <n v="-2067.64"/>
    <m/>
  </r>
  <r>
    <x v="350"/>
    <n v="9"/>
    <n v="2025"/>
    <n v="3"/>
    <s v="R&amp;D"/>
    <x v="1"/>
    <x v="3"/>
    <s v="R&amp;D Revenue - South"/>
    <n v="10800.85"/>
    <n v="10227.959999999999"/>
  </r>
  <r>
    <x v="351"/>
    <n v="9"/>
    <n v="2025"/>
    <n v="3"/>
    <s v="G&amp;A"/>
    <x v="1"/>
    <x v="1"/>
    <s v="G&amp;A Revenue - West"/>
    <n v="6835.87"/>
    <n v="6673.3"/>
  </r>
  <r>
    <x v="352"/>
    <n v="9"/>
    <n v="2025"/>
    <n v="3"/>
    <s v="R&amp;D"/>
    <x v="1"/>
    <x v="2"/>
    <s v="R&amp;D Revenue - North"/>
    <n v="10720.34"/>
    <n v="10875.21"/>
  </r>
  <r>
    <x v="352"/>
    <n v="9"/>
    <n v="2025"/>
    <n v="3"/>
    <s v="Sales"/>
    <x v="1"/>
    <x v="3"/>
    <s v="Sales Revenue - South"/>
    <n v="29562.93"/>
    <n v="29644.21"/>
  </r>
  <r>
    <x v="352"/>
    <n v="9"/>
    <n v="2025"/>
    <n v="3"/>
    <s v="R&amp;D"/>
    <x v="0"/>
    <x v="3"/>
    <s v="R&amp;D Expense - South"/>
    <n v="-11709.22"/>
    <m/>
  </r>
  <r>
    <x v="353"/>
    <n v="9"/>
    <n v="2025"/>
    <n v="3"/>
    <s v="Services"/>
    <x v="1"/>
    <x v="1"/>
    <s v="Services Revenue - West"/>
    <n v="18157.2"/>
    <n v="17385.099999999999"/>
  </r>
  <r>
    <x v="353"/>
    <n v="9"/>
    <n v="2025"/>
    <n v="3"/>
    <s v="Operations"/>
    <x v="0"/>
    <x v="1"/>
    <s v="Operations Expense - West"/>
    <n v="-5449.73"/>
    <m/>
  </r>
  <r>
    <x v="353"/>
    <n v="9"/>
    <n v="2025"/>
    <n v="3"/>
    <s v="Subscriptions"/>
    <x v="0"/>
    <x v="3"/>
    <s v="Subscriptions Expense - South"/>
    <n v="-15142.04"/>
    <m/>
  </r>
  <r>
    <x v="354"/>
    <n v="9"/>
    <n v="2025"/>
    <n v="3"/>
    <s v="HR"/>
    <x v="1"/>
    <x v="0"/>
    <s v="HR Revenue - East"/>
    <n v="5469.15"/>
    <n v="5522.2"/>
  </r>
  <r>
    <x v="355"/>
    <n v="9"/>
    <n v="2025"/>
    <n v="3"/>
    <s v="G&amp;A"/>
    <x v="1"/>
    <x v="2"/>
    <s v="G&amp;A Revenue - North"/>
    <n v="6928.43"/>
    <n v="6912.72"/>
  </r>
  <r>
    <x v="356"/>
    <n v="9"/>
    <n v="2025"/>
    <n v="3"/>
    <s v="G&amp;A"/>
    <x v="1"/>
    <x v="0"/>
    <s v="G&amp;A Revenue - East"/>
    <n v="5448.63"/>
    <n v="5304.85"/>
  </r>
  <r>
    <x v="356"/>
    <n v="9"/>
    <n v="2025"/>
    <n v="3"/>
    <s v="Marketing"/>
    <x v="1"/>
    <x v="2"/>
    <s v="Marketing Revenue - North"/>
    <n v="9440.7099999999991"/>
    <n v="9309.39"/>
  </r>
  <r>
    <x v="356"/>
    <n v="9"/>
    <n v="2025"/>
    <n v="3"/>
    <s v="HR"/>
    <x v="0"/>
    <x v="3"/>
    <s v="HR Expense - South"/>
    <n v="-2693.93"/>
    <m/>
  </r>
  <r>
    <x v="356"/>
    <n v="9"/>
    <n v="2025"/>
    <n v="3"/>
    <s v="G&amp;A"/>
    <x v="1"/>
    <x v="3"/>
    <s v="G&amp;A Revenue - South"/>
    <n v="6129.09"/>
    <n v="5797.07"/>
  </r>
  <r>
    <x v="357"/>
    <n v="9"/>
    <n v="2025"/>
    <n v="3"/>
    <s v="HR"/>
    <x v="1"/>
    <x v="3"/>
    <s v="HR Revenue - South"/>
    <n v="3628.86"/>
    <n v="3883.21"/>
  </r>
  <r>
    <x v="358"/>
    <n v="9"/>
    <n v="2025"/>
    <n v="3"/>
    <s v="Subscriptions"/>
    <x v="0"/>
    <x v="1"/>
    <s v="Subscriptions Expense - West"/>
    <n v="-21074.61"/>
    <m/>
  </r>
  <r>
    <x v="359"/>
    <n v="9"/>
    <n v="2025"/>
    <n v="3"/>
    <s v="Services"/>
    <x v="1"/>
    <x v="2"/>
    <s v="Services Revenue - North"/>
    <n v="21119.15"/>
    <n v="20310.349999999999"/>
  </r>
  <r>
    <x v="360"/>
    <n v="9"/>
    <n v="2025"/>
    <n v="3"/>
    <s v="Services"/>
    <x v="0"/>
    <x v="0"/>
    <s v="Services Expense - East"/>
    <n v="-27105.23"/>
    <m/>
  </r>
  <r>
    <x v="360"/>
    <n v="9"/>
    <n v="2025"/>
    <n v="3"/>
    <s v="Operations"/>
    <x v="1"/>
    <x v="0"/>
    <s v="Operations Revenue - East"/>
    <n v="18331.740000000002"/>
    <n v="18839.32"/>
  </r>
  <r>
    <x v="360"/>
    <n v="9"/>
    <n v="2025"/>
    <n v="3"/>
    <s v="G&amp;A"/>
    <x v="0"/>
    <x v="0"/>
    <s v="G&amp;A Expense - East"/>
    <n v="-3243.97"/>
    <m/>
  </r>
  <r>
    <x v="360"/>
    <n v="9"/>
    <n v="2025"/>
    <n v="3"/>
    <s v="R&amp;D"/>
    <x v="1"/>
    <x v="1"/>
    <s v="R&amp;D Revenue - West"/>
    <n v="13054.21"/>
    <n v="14129.85"/>
  </r>
  <r>
    <x v="360"/>
    <n v="9"/>
    <n v="2025"/>
    <n v="3"/>
    <s v="Operations"/>
    <x v="1"/>
    <x v="3"/>
    <s v="Operations Revenue - South"/>
    <n v="17717.560000000001"/>
    <n v="17742.080000000002"/>
  </r>
  <r>
    <x v="361"/>
    <n v="9"/>
    <n v="2025"/>
    <n v="3"/>
    <s v="Sales"/>
    <x v="1"/>
    <x v="0"/>
    <s v="Sales Revenue - East"/>
    <n v="25535.35"/>
    <n v="26257.360000000001"/>
  </r>
  <r>
    <x v="361"/>
    <n v="9"/>
    <n v="2025"/>
    <n v="3"/>
    <s v="Subscriptions"/>
    <x v="0"/>
    <x v="2"/>
    <s v="Subscriptions Expense - North"/>
    <n v="-29901.68"/>
    <m/>
  </r>
  <r>
    <x v="362"/>
    <n v="9"/>
    <n v="2025"/>
    <n v="3"/>
    <s v="R&amp;D"/>
    <x v="0"/>
    <x v="2"/>
    <s v="R&amp;D Expense - North"/>
    <n v="-5688.19"/>
    <m/>
  </r>
  <r>
    <x v="363"/>
    <n v="9"/>
    <n v="2025"/>
    <n v="3"/>
    <s v="Services"/>
    <x v="1"/>
    <x v="0"/>
    <s v="Services Revenue - East"/>
    <n v="22886.21"/>
    <n v="21629.19"/>
  </r>
  <r>
    <x v="363"/>
    <n v="9"/>
    <n v="2025"/>
    <n v="3"/>
    <s v="R&amp;D"/>
    <x v="1"/>
    <x v="0"/>
    <s v="R&amp;D Revenue - East"/>
    <n v="15768.45"/>
    <n v="15088.01"/>
  </r>
  <r>
    <x v="363"/>
    <n v="9"/>
    <n v="2025"/>
    <n v="3"/>
    <s v="R&amp;D"/>
    <x v="0"/>
    <x v="0"/>
    <s v="R&amp;D Expense - East"/>
    <n v="-6722.71"/>
    <m/>
  </r>
  <r>
    <x v="363"/>
    <n v="9"/>
    <n v="2025"/>
    <n v="3"/>
    <s v="Marketing"/>
    <x v="0"/>
    <x v="2"/>
    <s v="Marketing Expense - North"/>
    <n v="-8378.4699999999993"/>
    <m/>
  </r>
  <r>
    <x v="364"/>
    <n v="9"/>
    <n v="2025"/>
    <n v="3"/>
    <s v="Sales"/>
    <x v="0"/>
    <x v="1"/>
    <s v="Sales Expense - West"/>
    <n v="-16791.46"/>
    <m/>
  </r>
  <r>
    <x v="364"/>
    <n v="9"/>
    <n v="2025"/>
    <n v="3"/>
    <s v="R&amp;D"/>
    <x v="0"/>
    <x v="1"/>
    <s v="R&amp;D Expense - West"/>
    <n v="-10674.24"/>
    <m/>
  </r>
  <r>
    <x v="365"/>
    <n v="9"/>
    <n v="2025"/>
    <n v="3"/>
    <s v="Marketing"/>
    <x v="0"/>
    <x v="0"/>
    <s v="Marketing Expense - East"/>
    <n v="-8420.75"/>
    <m/>
  </r>
  <r>
    <x v="365"/>
    <n v="9"/>
    <n v="2025"/>
    <n v="3"/>
    <s v="Sales"/>
    <x v="0"/>
    <x v="2"/>
    <s v="Sales Expense - North"/>
    <n v="-18820.97"/>
    <m/>
  </r>
  <r>
    <x v="365"/>
    <n v="9"/>
    <n v="2025"/>
    <n v="3"/>
    <s v="HR"/>
    <x v="1"/>
    <x v="2"/>
    <s v="HR Revenue - North"/>
    <n v="4846.74"/>
    <n v="4998.08"/>
  </r>
  <r>
    <x v="365"/>
    <n v="9"/>
    <n v="2025"/>
    <n v="3"/>
    <s v="HR"/>
    <x v="0"/>
    <x v="2"/>
    <s v="HR Expense - North"/>
    <n v="-3751.37"/>
    <m/>
  </r>
  <r>
    <x v="366"/>
    <n v="9"/>
    <n v="2025"/>
    <n v="3"/>
    <s v="Subscriptions"/>
    <x v="1"/>
    <x v="0"/>
    <s v="Subscriptions Revenue - East"/>
    <n v="30834.93"/>
    <n v="33310.17"/>
  </r>
  <r>
    <x v="366"/>
    <n v="9"/>
    <n v="2025"/>
    <n v="3"/>
    <s v="G&amp;A"/>
    <x v="0"/>
    <x v="3"/>
    <s v="G&amp;A Expense - South"/>
    <n v="-2402.16"/>
    <m/>
  </r>
  <r>
    <x v="367"/>
    <n v="9"/>
    <n v="2025"/>
    <n v="3"/>
    <s v="Marketing"/>
    <x v="1"/>
    <x v="0"/>
    <s v="Marketing Revenue - East"/>
    <n v="11721.12"/>
    <n v="12427.78"/>
  </r>
  <r>
    <x v="367"/>
    <n v="9"/>
    <n v="2025"/>
    <n v="3"/>
    <s v="Marketing"/>
    <x v="0"/>
    <x v="1"/>
    <s v="Marketing Expense - West"/>
    <n v="-10718.6"/>
    <m/>
  </r>
  <r>
    <x v="367"/>
    <n v="9"/>
    <n v="2025"/>
    <n v="3"/>
    <s v="HR"/>
    <x v="1"/>
    <x v="1"/>
    <s v="HR Revenue - West"/>
    <n v="4385.4399999999996"/>
    <n v="4743.63"/>
  </r>
  <r>
    <x v="367"/>
    <n v="9"/>
    <n v="2025"/>
    <n v="3"/>
    <s v="G&amp;A"/>
    <x v="0"/>
    <x v="2"/>
    <s v="G&amp;A Expense - North"/>
    <n v="-2298.96"/>
    <m/>
  </r>
  <r>
    <x v="368"/>
    <n v="9"/>
    <n v="2025"/>
    <n v="3"/>
    <s v="Operations"/>
    <x v="1"/>
    <x v="1"/>
    <s v="Operations Revenue - West"/>
    <n v="14229.95"/>
    <n v="14303.37"/>
  </r>
  <r>
    <x v="368"/>
    <n v="9"/>
    <n v="2025"/>
    <n v="3"/>
    <s v="HR"/>
    <x v="0"/>
    <x v="1"/>
    <s v="HR Expense - West"/>
    <n v="-5048.8"/>
    <m/>
  </r>
  <r>
    <x v="369"/>
    <n v="9"/>
    <n v="2025"/>
    <n v="3"/>
    <s v="Marketing"/>
    <x v="1"/>
    <x v="1"/>
    <s v="Marketing Revenue - West"/>
    <n v="7553.27"/>
    <n v="8045.43"/>
  </r>
  <r>
    <x v="370"/>
    <n v="9"/>
    <n v="2025"/>
    <n v="3"/>
    <s v="Subscriptions"/>
    <x v="0"/>
    <x v="0"/>
    <s v="Subscriptions Expense - East"/>
    <n v="-43116.81"/>
    <m/>
  </r>
  <r>
    <x v="370"/>
    <n v="9"/>
    <n v="2025"/>
    <n v="3"/>
    <s v="Sales"/>
    <x v="1"/>
    <x v="1"/>
    <s v="Sales Revenue - West"/>
    <n v="25943.72"/>
    <n v="25545.22"/>
  </r>
  <r>
    <x v="370"/>
    <n v="9"/>
    <n v="2025"/>
    <n v="3"/>
    <s v="Services"/>
    <x v="0"/>
    <x v="2"/>
    <s v="Services Expense - North"/>
    <n v="-22570.639999999999"/>
    <m/>
  </r>
  <r>
    <x v="370"/>
    <n v="9"/>
    <n v="2025"/>
    <n v="3"/>
    <s v="Services"/>
    <x v="0"/>
    <x v="3"/>
    <s v="Services Expense - South"/>
    <n v="-8099.79"/>
    <m/>
  </r>
  <r>
    <x v="370"/>
    <n v="9"/>
    <n v="2025"/>
    <n v="3"/>
    <s v="Marketing"/>
    <x v="0"/>
    <x v="3"/>
    <s v="Marketing Expense - South"/>
    <n v="-4216.25"/>
    <m/>
  </r>
  <r>
    <x v="371"/>
    <n v="9"/>
    <n v="2025"/>
    <n v="3"/>
    <s v="Services"/>
    <x v="0"/>
    <x v="1"/>
    <s v="Services Expense - West"/>
    <n v="-10373.879999999999"/>
    <m/>
  </r>
  <r>
    <x v="371"/>
    <n v="9"/>
    <n v="2025"/>
    <n v="3"/>
    <s v="Subscriptions"/>
    <x v="1"/>
    <x v="1"/>
    <s v="Subscriptions Revenue - West"/>
    <n v="29759.56"/>
    <n v="28508.11"/>
  </r>
  <r>
    <x v="371"/>
    <n v="9"/>
    <n v="2025"/>
    <n v="3"/>
    <s v="Sales"/>
    <x v="1"/>
    <x v="2"/>
    <s v="Sales Revenue - North"/>
    <n v="29635.7"/>
    <n v="27895.22"/>
  </r>
  <r>
    <x v="371"/>
    <n v="9"/>
    <n v="2025"/>
    <n v="3"/>
    <s v="Marketing"/>
    <x v="1"/>
    <x v="3"/>
    <s v="Marketing Revenue - South"/>
    <n v="7408.8"/>
    <n v="7887.94"/>
  </r>
  <r>
    <x v="371"/>
    <n v="9"/>
    <n v="2025"/>
    <n v="3"/>
    <s v="Operations"/>
    <x v="0"/>
    <x v="3"/>
    <s v="Operations Expense - South"/>
    <n v="-26190.11"/>
    <m/>
  </r>
  <r>
    <x v="372"/>
    <n v="9"/>
    <n v="2025"/>
    <n v="3"/>
    <s v="Services"/>
    <x v="1"/>
    <x v="3"/>
    <s v="Services Revenue - South"/>
    <n v="20877.12"/>
    <n v="22000.66"/>
  </r>
  <r>
    <x v="373"/>
    <n v="9"/>
    <n v="2025"/>
    <n v="3"/>
    <s v="Sales"/>
    <x v="0"/>
    <x v="0"/>
    <s v="Sales Expense - East"/>
    <n v="-12590.73"/>
    <m/>
  </r>
  <r>
    <x v="373"/>
    <n v="9"/>
    <n v="2025"/>
    <n v="3"/>
    <s v="Operations"/>
    <x v="0"/>
    <x v="2"/>
    <s v="Operations Expense - North"/>
    <n v="-12670.2"/>
    <m/>
  </r>
  <r>
    <x v="373"/>
    <n v="9"/>
    <n v="2025"/>
    <n v="3"/>
    <s v="Subscriptions"/>
    <x v="1"/>
    <x v="3"/>
    <s v="Subscriptions Revenue - South"/>
    <n v="19450.669999999998"/>
    <n v="21257.9"/>
  </r>
  <r>
    <x v="374"/>
    <n v="10"/>
    <n v="2025"/>
    <n v="4"/>
    <s v="R&amp;D"/>
    <x v="1"/>
    <x v="0"/>
    <s v="R&amp;D Revenue - East"/>
    <n v="15084.33"/>
    <n v="16428.16"/>
  </r>
  <r>
    <x v="374"/>
    <n v="10"/>
    <n v="2025"/>
    <n v="4"/>
    <s v="G&amp;A"/>
    <x v="0"/>
    <x v="0"/>
    <s v="G&amp;A Expense - East"/>
    <n v="-11497.67"/>
    <m/>
  </r>
  <r>
    <x v="374"/>
    <n v="10"/>
    <n v="2025"/>
    <n v="4"/>
    <s v="Marketing"/>
    <x v="0"/>
    <x v="1"/>
    <s v="Marketing Expense - West"/>
    <n v="-5357.98"/>
    <m/>
  </r>
  <r>
    <x v="375"/>
    <n v="10"/>
    <n v="2025"/>
    <n v="4"/>
    <s v="Marketing"/>
    <x v="1"/>
    <x v="1"/>
    <s v="Marketing Revenue - West"/>
    <n v="11792.86"/>
    <n v="11096.75"/>
  </r>
  <r>
    <x v="375"/>
    <n v="10"/>
    <n v="2025"/>
    <n v="4"/>
    <s v="HR"/>
    <x v="0"/>
    <x v="1"/>
    <s v="HR Expense - West"/>
    <n v="-5479.76"/>
    <m/>
  </r>
  <r>
    <x v="375"/>
    <n v="10"/>
    <n v="2025"/>
    <n v="4"/>
    <s v="HR"/>
    <x v="1"/>
    <x v="3"/>
    <s v="HR Revenue - South"/>
    <n v="5046.12"/>
    <n v="5303.91"/>
  </r>
  <r>
    <x v="376"/>
    <n v="10"/>
    <n v="2025"/>
    <n v="4"/>
    <s v="Operations"/>
    <x v="1"/>
    <x v="1"/>
    <s v="Operations Revenue - West"/>
    <n v="20933.89"/>
    <n v="20755.22"/>
  </r>
  <r>
    <x v="376"/>
    <n v="10"/>
    <n v="2025"/>
    <n v="4"/>
    <s v="Subscriptions"/>
    <x v="1"/>
    <x v="3"/>
    <s v="Subscriptions Revenue - South"/>
    <n v="23258.07"/>
    <n v="23163.62"/>
  </r>
  <r>
    <x v="377"/>
    <n v="10"/>
    <n v="2025"/>
    <n v="4"/>
    <s v="G&amp;A"/>
    <x v="0"/>
    <x v="1"/>
    <s v="G&amp;A Expense - West"/>
    <n v="-3492.07"/>
    <m/>
  </r>
  <r>
    <x v="378"/>
    <n v="10"/>
    <n v="2025"/>
    <n v="4"/>
    <s v="R&amp;D"/>
    <x v="1"/>
    <x v="1"/>
    <s v="R&amp;D Revenue - West"/>
    <n v="10529.76"/>
    <n v="11185.97"/>
  </r>
  <r>
    <x v="378"/>
    <n v="10"/>
    <n v="2025"/>
    <n v="4"/>
    <s v="G&amp;A"/>
    <x v="1"/>
    <x v="1"/>
    <s v="G&amp;A Revenue - West"/>
    <n v="6904.5"/>
    <n v="7102.75"/>
  </r>
  <r>
    <x v="378"/>
    <n v="10"/>
    <n v="2025"/>
    <n v="4"/>
    <s v="Subscriptions"/>
    <x v="0"/>
    <x v="3"/>
    <s v="Subscriptions Expense - South"/>
    <n v="-14894.45"/>
    <m/>
  </r>
  <r>
    <x v="379"/>
    <n v="10"/>
    <n v="2025"/>
    <n v="4"/>
    <s v="Subscriptions"/>
    <x v="1"/>
    <x v="2"/>
    <s v="Subscriptions Revenue - North"/>
    <n v="28041.599999999999"/>
    <n v="29178.21"/>
  </r>
  <r>
    <x v="379"/>
    <n v="10"/>
    <n v="2025"/>
    <n v="4"/>
    <s v="Operations"/>
    <x v="1"/>
    <x v="2"/>
    <s v="Operations Revenue - North"/>
    <n v="14442.54"/>
    <n v="15684.55"/>
  </r>
  <r>
    <x v="380"/>
    <n v="10"/>
    <n v="2025"/>
    <n v="4"/>
    <s v="R&amp;D"/>
    <x v="0"/>
    <x v="1"/>
    <s v="R&amp;D Expense - West"/>
    <n v="-3391.32"/>
    <m/>
  </r>
  <r>
    <x v="381"/>
    <n v="10"/>
    <n v="2025"/>
    <n v="4"/>
    <s v="Marketing"/>
    <x v="1"/>
    <x v="0"/>
    <s v="Marketing Revenue - East"/>
    <n v="12146.1"/>
    <n v="13296.76"/>
  </r>
  <r>
    <x v="381"/>
    <n v="10"/>
    <n v="2025"/>
    <n v="4"/>
    <s v="HR"/>
    <x v="0"/>
    <x v="0"/>
    <s v="HR Expense - East"/>
    <n v="-4540.49"/>
    <m/>
  </r>
  <r>
    <x v="382"/>
    <n v="10"/>
    <n v="2025"/>
    <n v="4"/>
    <s v="Marketing"/>
    <x v="0"/>
    <x v="2"/>
    <s v="Marketing Expense - North"/>
    <n v="-5116.7700000000004"/>
    <m/>
  </r>
  <r>
    <x v="382"/>
    <n v="10"/>
    <n v="2025"/>
    <n v="4"/>
    <s v="HR"/>
    <x v="1"/>
    <x v="2"/>
    <s v="HR Revenue - North"/>
    <n v="5657.16"/>
    <n v="5438.85"/>
  </r>
  <r>
    <x v="383"/>
    <n v="10"/>
    <n v="2025"/>
    <n v="4"/>
    <s v="Subscriptions"/>
    <x v="1"/>
    <x v="1"/>
    <s v="Subscriptions Revenue - West"/>
    <n v="21982.99"/>
    <n v="23810.47"/>
  </r>
  <r>
    <x v="383"/>
    <n v="10"/>
    <n v="2025"/>
    <n v="4"/>
    <s v="Operations"/>
    <x v="0"/>
    <x v="1"/>
    <s v="Operations Expense - West"/>
    <n v="-22126.91"/>
    <m/>
  </r>
  <r>
    <x v="383"/>
    <n v="10"/>
    <n v="2025"/>
    <n v="4"/>
    <s v="Sales"/>
    <x v="0"/>
    <x v="2"/>
    <s v="Sales Expense - North"/>
    <n v="-12779.94"/>
    <m/>
  </r>
  <r>
    <x v="384"/>
    <n v="10"/>
    <n v="2025"/>
    <n v="4"/>
    <s v="Subscriptions"/>
    <x v="0"/>
    <x v="2"/>
    <s v="Subscriptions Expense - North"/>
    <n v="-21115.96"/>
    <m/>
  </r>
  <r>
    <x v="384"/>
    <n v="10"/>
    <n v="2025"/>
    <n v="4"/>
    <s v="R&amp;D"/>
    <x v="1"/>
    <x v="2"/>
    <s v="R&amp;D Revenue - North"/>
    <n v="11754.51"/>
    <n v="12086.58"/>
  </r>
  <r>
    <x v="384"/>
    <n v="10"/>
    <n v="2025"/>
    <n v="4"/>
    <s v="Sales"/>
    <x v="0"/>
    <x v="3"/>
    <s v="Sales Expense - South"/>
    <n v="-29695.439999999999"/>
    <m/>
  </r>
  <r>
    <x v="385"/>
    <n v="10"/>
    <n v="2025"/>
    <n v="4"/>
    <s v="Sales"/>
    <x v="1"/>
    <x v="0"/>
    <s v="Sales Revenue - East"/>
    <n v="36149.71"/>
    <n v="37157.83"/>
  </r>
  <r>
    <x v="385"/>
    <n v="10"/>
    <n v="2025"/>
    <n v="4"/>
    <s v="Sales"/>
    <x v="1"/>
    <x v="1"/>
    <s v="Sales Revenue - West"/>
    <n v="31876.52"/>
    <n v="33721.910000000003"/>
  </r>
  <r>
    <x v="386"/>
    <n v="10"/>
    <n v="2025"/>
    <n v="4"/>
    <s v="Subscriptions"/>
    <x v="0"/>
    <x v="0"/>
    <s v="Subscriptions Expense - East"/>
    <n v="-18264.43"/>
    <m/>
  </r>
  <r>
    <x v="387"/>
    <n v="10"/>
    <n v="2025"/>
    <n v="4"/>
    <s v="HR"/>
    <x v="1"/>
    <x v="0"/>
    <s v="HR Revenue - East"/>
    <n v="4965.59"/>
    <n v="5307.8"/>
  </r>
  <r>
    <x v="388"/>
    <n v="10"/>
    <n v="2025"/>
    <n v="4"/>
    <s v="Services"/>
    <x v="1"/>
    <x v="0"/>
    <s v="Services Revenue - East"/>
    <n v="24601.3"/>
    <n v="26231.98"/>
  </r>
  <r>
    <x v="388"/>
    <n v="10"/>
    <n v="2025"/>
    <n v="4"/>
    <s v="Services"/>
    <x v="0"/>
    <x v="0"/>
    <s v="Services Expense - East"/>
    <n v="-29114.240000000002"/>
    <m/>
  </r>
  <r>
    <x v="388"/>
    <n v="10"/>
    <n v="2025"/>
    <n v="4"/>
    <s v="Operations"/>
    <x v="0"/>
    <x v="3"/>
    <s v="Operations Expense - South"/>
    <n v="-11446.06"/>
    <m/>
  </r>
  <r>
    <x v="388"/>
    <n v="10"/>
    <n v="2025"/>
    <n v="4"/>
    <s v="HR"/>
    <x v="0"/>
    <x v="3"/>
    <s v="HR Expense - South"/>
    <n v="-2489.61"/>
    <m/>
  </r>
  <r>
    <x v="389"/>
    <n v="10"/>
    <n v="2025"/>
    <n v="4"/>
    <s v="Services"/>
    <x v="0"/>
    <x v="1"/>
    <s v="Services Expense - West"/>
    <n v="-15868.04"/>
    <m/>
  </r>
  <r>
    <x v="389"/>
    <n v="10"/>
    <n v="2025"/>
    <n v="4"/>
    <s v="Marketing"/>
    <x v="1"/>
    <x v="2"/>
    <s v="Marketing Revenue - North"/>
    <n v="8582.15"/>
    <n v="8634.92"/>
  </r>
  <r>
    <x v="389"/>
    <n v="10"/>
    <n v="2025"/>
    <n v="4"/>
    <s v="Operations"/>
    <x v="1"/>
    <x v="3"/>
    <s v="Operations Revenue - South"/>
    <n v="15543.43"/>
    <n v="16386.64"/>
  </r>
  <r>
    <x v="389"/>
    <n v="10"/>
    <n v="2025"/>
    <n v="4"/>
    <s v="G&amp;A"/>
    <x v="1"/>
    <x v="3"/>
    <s v="G&amp;A Revenue - South"/>
    <n v="6209.46"/>
    <n v="6161.33"/>
  </r>
  <r>
    <x v="390"/>
    <n v="10"/>
    <n v="2025"/>
    <n v="4"/>
    <s v="Subscriptions"/>
    <x v="0"/>
    <x v="1"/>
    <s v="Subscriptions Expense - West"/>
    <n v="-15352.1"/>
    <m/>
  </r>
  <r>
    <x v="390"/>
    <n v="10"/>
    <n v="2025"/>
    <n v="4"/>
    <s v="HR"/>
    <x v="1"/>
    <x v="1"/>
    <s v="HR Revenue - West"/>
    <n v="4321.95"/>
    <n v="4095.71"/>
  </r>
  <r>
    <x v="390"/>
    <n v="10"/>
    <n v="2025"/>
    <n v="4"/>
    <s v="Services"/>
    <x v="1"/>
    <x v="3"/>
    <s v="Services Revenue - South"/>
    <n v="23169.93"/>
    <n v="22931.13"/>
  </r>
  <r>
    <x v="390"/>
    <n v="10"/>
    <n v="2025"/>
    <n v="4"/>
    <s v="Marketing"/>
    <x v="0"/>
    <x v="3"/>
    <s v="Marketing Expense - South"/>
    <n v="-2534.13"/>
    <m/>
  </r>
  <r>
    <x v="391"/>
    <n v="10"/>
    <n v="2025"/>
    <n v="4"/>
    <s v="G&amp;A"/>
    <x v="1"/>
    <x v="0"/>
    <s v="G&amp;A Revenue - East"/>
    <n v="7706.81"/>
    <n v="7903.83"/>
  </r>
  <r>
    <x v="391"/>
    <n v="10"/>
    <n v="2025"/>
    <n v="4"/>
    <s v="R&amp;D"/>
    <x v="1"/>
    <x v="3"/>
    <s v="R&amp;D Revenue - South"/>
    <n v="11943.02"/>
    <n v="12592.49"/>
  </r>
  <r>
    <x v="392"/>
    <n v="10"/>
    <n v="2025"/>
    <n v="4"/>
    <s v="Sales"/>
    <x v="1"/>
    <x v="3"/>
    <s v="Sales Revenue - South"/>
    <n v="23725.69"/>
    <n v="23181.95"/>
  </r>
  <r>
    <x v="392"/>
    <n v="10"/>
    <n v="2025"/>
    <n v="4"/>
    <s v="G&amp;A"/>
    <x v="0"/>
    <x v="3"/>
    <s v="G&amp;A Expense - South"/>
    <n v="-2416.59"/>
    <m/>
  </r>
  <r>
    <x v="393"/>
    <n v="10"/>
    <n v="2025"/>
    <n v="4"/>
    <s v="Subscriptions"/>
    <x v="1"/>
    <x v="0"/>
    <s v="Subscriptions Revenue - East"/>
    <n v="25284.04"/>
    <n v="24707.85"/>
  </r>
  <r>
    <x v="393"/>
    <n v="10"/>
    <n v="2025"/>
    <n v="4"/>
    <s v="Operations"/>
    <x v="0"/>
    <x v="0"/>
    <s v="Operations Expense - East"/>
    <n v="-7436.22"/>
    <m/>
  </r>
  <r>
    <x v="393"/>
    <n v="10"/>
    <n v="2025"/>
    <n v="4"/>
    <s v="Operations"/>
    <x v="0"/>
    <x v="2"/>
    <s v="Operations Expense - North"/>
    <n v="-6454.69"/>
    <m/>
  </r>
  <r>
    <x v="393"/>
    <n v="10"/>
    <n v="2025"/>
    <n v="4"/>
    <s v="R&amp;D"/>
    <x v="0"/>
    <x v="2"/>
    <s v="R&amp;D Expense - North"/>
    <n v="-12508.94"/>
    <m/>
  </r>
  <r>
    <x v="394"/>
    <n v="10"/>
    <n v="2025"/>
    <n v="4"/>
    <s v="Sales"/>
    <x v="0"/>
    <x v="1"/>
    <s v="Sales Expense - West"/>
    <n v="-10194.85"/>
    <m/>
  </r>
  <r>
    <x v="395"/>
    <n v="10"/>
    <n v="2025"/>
    <n v="4"/>
    <s v="Marketing"/>
    <x v="0"/>
    <x v="0"/>
    <s v="Marketing Expense - East"/>
    <n v="-6707.1"/>
    <m/>
  </r>
  <r>
    <x v="396"/>
    <n v="10"/>
    <n v="2025"/>
    <n v="4"/>
    <s v="R&amp;D"/>
    <x v="0"/>
    <x v="0"/>
    <s v="R&amp;D Expense - East"/>
    <n v="-20638.91"/>
    <m/>
  </r>
  <r>
    <x v="396"/>
    <n v="10"/>
    <n v="2025"/>
    <n v="4"/>
    <s v="G&amp;A"/>
    <x v="0"/>
    <x v="2"/>
    <s v="G&amp;A Expense - North"/>
    <n v="-2426.96"/>
    <m/>
  </r>
  <r>
    <x v="396"/>
    <n v="10"/>
    <n v="2025"/>
    <n v="4"/>
    <s v="Marketing"/>
    <x v="1"/>
    <x v="3"/>
    <s v="Marketing Revenue - South"/>
    <n v="7617.12"/>
    <n v="7129.26"/>
  </r>
  <r>
    <x v="397"/>
    <n v="10"/>
    <n v="2025"/>
    <n v="4"/>
    <s v="Sales"/>
    <x v="0"/>
    <x v="0"/>
    <s v="Sales Expense - East"/>
    <n v="-52931.73"/>
    <m/>
  </r>
  <r>
    <x v="397"/>
    <n v="10"/>
    <n v="2025"/>
    <n v="4"/>
    <s v="Operations"/>
    <x v="1"/>
    <x v="0"/>
    <s v="Operations Revenue - East"/>
    <n v="21383.47"/>
    <n v="23037.52"/>
  </r>
  <r>
    <x v="398"/>
    <n v="10"/>
    <n v="2025"/>
    <n v="4"/>
    <s v="Sales"/>
    <x v="1"/>
    <x v="2"/>
    <s v="Sales Revenue - North"/>
    <n v="32454.29"/>
    <n v="33405.85"/>
  </r>
  <r>
    <x v="399"/>
    <n v="10"/>
    <n v="2025"/>
    <n v="4"/>
    <s v="Services"/>
    <x v="1"/>
    <x v="2"/>
    <s v="Services Revenue - North"/>
    <n v="27783.41"/>
    <n v="26320.52"/>
  </r>
  <r>
    <x v="399"/>
    <n v="10"/>
    <n v="2025"/>
    <n v="4"/>
    <s v="G&amp;A"/>
    <x v="1"/>
    <x v="2"/>
    <s v="G&amp;A Revenue - North"/>
    <n v="5346.38"/>
    <n v="5634.21"/>
  </r>
  <r>
    <x v="399"/>
    <n v="10"/>
    <n v="2025"/>
    <n v="4"/>
    <s v="R&amp;D"/>
    <x v="0"/>
    <x v="3"/>
    <s v="R&amp;D Expense - South"/>
    <n v="-6743.24"/>
    <m/>
  </r>
  <r>
    <x v="400"/>
    <n v="10"/>
    <n v="2025"/>
    <n v="4"/>
    <s v="Services"/>
    <x v="1"/>
    <x v="1"/>
    <s v="Services Revenue - West"/>
    <n v="27649.08"/>
    <n v="28865.49"/>
  </r>
  <r>
    <x v="400"/>
    <n v="10"/>
    <n v="2025"/>
    <n v="4"/>
    <s v="HR"/>
    <x v="0"/>
    <x v="2"/>
    <s v="HR Expense - North"/>
    <n v="-3466.74"/>
    <m/>
  </r>
  <r>
    <x v="400"/>
    <n v="10"/>
    <n v="2025"/>
    <n v="4"/>
    <s v="Services"/>
    <x v="0"/>
    <x v="3"/>
    <s v="Services Expense - South"/>
    <n v="-27531.87"/>
    <m/>
  </r>
  <r>
    <x v="401"/>
    <n v="10"/>
    <n v="2025"/>
    <n v="4"/>
    <s v="Services"/>
    <x v="0"/>
    <x v="2"/>
    <s v="Services Expense - North"/>
    <n v="-16503.509999999998"/>
    <m/>
  </r>
  <r>
    <x v="402"/>
    <n v="11"/>
    <n v="2025"/>
    <n v="4"/>
    <s v="Services"/>
    <x v="1"/>
    <x v="0"/>
    <s v="Services Revenue - East"/>
    <n v="20892.23"/>
    <n v="20523.64"/>
  </r>
  <r>
    <x v="403"/>
    <n v="11"/>
    <n v="2025"/>
    <n v="4"/>
    <s v="Marketing"/>
    <x v="0"/>
    <x v="1"/>
    <s v="Marketing Expense - West"/>
    <n v="-7113.02"/>
    <m/>
  </r>
  <r>
    <x v="404"/>
    <n v="11"/>
    <n v="2025"/>
    <n v="4"/>
    <s v="Sales"/>
    <x v="1"/>
    <x v="0"/>
    <s v="Sales Revenue - East"/>
    <n v="30214.12"/>
    <n v="28273.73"/>
  </r>
  <r>
    <x v="404"/>
    <n v="11"/>
    <n v="2025"/>
    <n v="4"/>
    <s v="G&amp;A"/>
    <x v="1"/>
    <x v="0"/>
    <s v="G&amp;A Revenue - East"/>
    <n v="6550.76"/>
    <n v="7052.43"/>
  </r>
  <r>
    <x v="404"/>
    <n v="11"/>
    <n v="2025"/>
    <n v="4"/>
    <s v="Subscriptions"/>
    <x v="0"/>
    <x v="2"/>
    <s v="Subscriptions Expense - North"/>
    <n v="-25903.98"/>
    <m/>
  </r>
  <r>
    <x v="404"/>
    <n v="11"/>
    <n v="2025"/>
    <n v="4"/>
    <s v="G&amp;A"/>
    <x v="0"/>
    <x v="2"/>
    <s v="G&amp;A Expense - North"/>
    <n v="-3798.31"/>
    <m/>
  </r>
  <r>
    <x v="404"/>
    <n v="11"/>
    <n v="2025"/>
    <n v="4"/>
    <s v="Marketing"/>
    <x v="1"/>
    <x v="3"/>
    <s v="Marketing Revenue - South"/>
    <n v="10284.540000000001"/>
    <n v="11128.6"/>
  </r>
  <r>
    <x v="405"/>
    <n v="11"/>
    <n v="2025"/>
    <n v="4"/>
    <s v="Subscriptions"/>
    <x v="0"/>
    <x v="0"/>
    <s v="Subscriptions Expense - East"/>
    <n v="-49846.82"/>
    <m/>
  </r>
  <r>
    <x v="405"/>
    <n v="11"/>
    <n v="2025"/>
    <n v="4"/>
    <s v="R&amp;D"/>
    <x v="1"/>
    <x v="0"/>
    <s v="R&amp;D Revenue - East"/>
    <n v="14662"/>
    <n v="14928.62"/>
  </r>
  <r>
    <x v="405"/>
    <n v="11"/>
    <n v="2025"/>
    <n v="4"/>
    <s v="Services"/>
    <x v="0"/>
    <x v="2"/>
    <s v="Services Expense - North"/>
    <n v="-14450.03"/>
    <m/>
  </r>
  <r>
    <x v="405"/>
    <n v="11"/>
    <n v="2025"/>
    <n v="4"/>
    <s v="Marketing"/>
    <x v="0"/>
    <x v="2"/>
    <s v="Marketing Expense - North"/>
    <n v="-3148.45"/>
    <m/>
  </r>
  <r>
    <x v="405"/>
    <n v="11"/>
    <n v="2025"/>
    <n v="4"/>
    <s v="Services"/>
    <x v="1"/>
    <x v="3"/>
    <s v="Services Revenue - South"/>
    <n v="20422.96"/>
    <n v="22165.4"/>
  </r>
  <r>
    <x v="405"/>
    <n v="11"/>
    <n v="2025"/>
    <n v="4"/>
    <s v="Subscriptions"/>
    <x v="0"/>
    <x v="3"/>
    <s v="Subscriptions Expense - South"/>
    <n v="-34659.599999999999"/>
    <m/>
  </r>
  <r>
    <x v="406"/>
    <n v="11"/>
    <n v="2025"/>
    <n v="4"/>
    <s v="HR"/>
    <x v="1"/>
    <x v="2"/>
    <s v="HR Revenue - North"/>
    <n v="4270.49"/>
    <n v="4422.22"/>
  </r>
  <r>
    <x v="406"/>
    <n v="11"/>
    <n v="2025"/>
    <n v="4"/>
    <s v="G&amp;A"/>
    <x v="1"/>
    <x v="2"/>
    <s v="G&amp;A Revenue - North"/>
    <n v="5961.57"/>
    <n v="6398.99"/>
  </r>
  <r>
    <x v="406"/>
    <n v="11"/>
    <n v="2025"/>
    <n v="4"/>
    <s v="Marketing"/>
    <x v="0"/>
    <x v="3"/>
    <s v="Marketing Expense - South"/>
    <n v="-7229.97"/>
    <m/>
  </r>
  <r>
    <x v="406"/>
    <n v="11"/>
    <n v="2025"/>
    <n v="4"/>
    <s v="R&amp;D"/>
    <x v="0"/>
    <x v="3"/>
    <s v="R&amp;D Expense - South"/>
    <n v="-4932.1899999999996"/>
    <m/>
  </r>
  <r>
    <x v="407"/>
    <n v="11"/>
    <n v="2025"/>
    <n v="4"/>
    <s v="Sales"/>
    <x v="0"/>
    <x v="1"/>
    <s v="Sales Expense - West"/>
    <n v="-15243.93"/>
    <m/>
  </r>
  <r>
    <x v="407"/>
    <n v="11"/>
    <n v="2025"/>
    <n v="4"/>
    <s v="Sales"/>
    <x v="1"/>
    <x v="2"/>
    <s v="Sales Revenue - North"/>
    <n v="32141.439999999999"/>
    <n v="31063.65"/>
  </r>
  <r>
    <x v="407"/>
    <n v="11"/>
    <n v="2025"/>
    <n v="4"/>
    <s v="HR"/>
    <x v="0"/>
    <x v="2"/>
    <s v="HR Expense - North"/>
    <n v="-2435.92"/>
    <m/>
  </r>
  <r>
    <x v="408"/>
    <n v="11"/>
    <n v="2025"/>
    <n v="4"/>
    <s v="Services"/>
    <x v="0"/>
    <x v="0"/>
    <s v="Services Expense - East"/>
    <n v="-27519.95"/>
    <m/>
  </r>
  <r>
    <x v="408"/>
    <n v="11"/>
    <n v="2025"/>
    <n v="4"/>
    <s v="HR"/>
    <x v="1"/>
    <x v="1"/>
    <s v="HR Revenue - West"/>
    <n v="4946.43"/>
    <n v="5415.34"/>
  </r>
  <r>
    <x v="408"/>
    <n v="11"/>
    <n v="2025"/>
    <n v="4"/>
    <s v="Subscriptions"/>
    <x v="1"/>
    <x v="3"/>
    <s v="Subscriptions Revenue - South"/>
    <n v="25603.43"/>
    <n v="27368.63"/>
  </r>
  <r>
    <x v="409"/>
    <n v="11"/>
    <n v="2025"/>
    <n v="4"/>
    <s v="Services"/>
    <x v="1"/>
    <x v="1"/>
    <s v="Services Revenue - West"/>
    <n v="26996.58"/>
    <n v="25274.58"/>
  </r>
  <r>
    <x v="409"/>
    <n v="11"/>
    <n v="2025"/>
    <n v="4"/>
    <s v="Services"/>
    <x v="0"/>
    <x v="1"/>
    <s v="Services Expense - West"/>
    <n v="-21634.78"/>
    <m/>
  </r>
  <r>
    <x v="409"/>
    <n v="11"/>
    <n v="2025"/>
    <n v="4"/>
    <s v="R&amp;D"/>
    <x v="0"/>
    <x v="2"/>
    <s v="R&amp;D Expense - North"/>
    <n v="-12301.85"/>
    <m/>
  </r>
  <r>
    <x v="410"/>
    <n v="11"/>
    <n v="2025"/>
    <n v="4"/>
    <s v="G&amp;A"/>
    <x v="0"/>
    <x v="0"/>
    <s v="G&amp;A Expense - East"/>
    <n v="-5097.99"/>
    <m/>
  </r>
  <r>
    <x v="410"/>
    <n v="11"/>
    <n v="2025"/>
    <n v="4"/>
    <s v="Sales"/>
    <x v="1"/>
    <x v="1"/>
    <s v="Sales Revenue - West"/>
    <n v="31130.799999999999"/>
    <n v="33228.43"/>
  </r>
  <r>
    <x v="411"/>
    <n v="11"/>
    <n v="2025"/>
    <n v="4"/>
    <s v="Marketing"/>
    <x v="0"/>
    <x v="0"/>
    <s v="Marketing Expense - East"/>
    <n v="-4733.22"/>
    <m/>
  </r>
  <r>
    <x v="411"/>
    <n v="11"/>
    <n v="2025"/>
    <n v="4"/>
    <s v="Services"/>
    <x v="1"/>
    <x v="2"/>
    <s v="Services Revenue - North"/>
    <n v="21739.38"/>
    <n v="21375.8"/>
  </r>
  <r>
    <x v="411"/>
    <n v="11"/>
    <n v="2025"/>
    <n v="4"/>
    <s v="Marketing"/>
    <x v="1"/>
    <x v="2"/>
    <s v="Marketing Revenue - North"/>
    <n v="9161.32"/>
    <n v="9002.77"/>
  </r>
  <r>
    <x v="411"/>
    <n v="11"/>
    <n v="2025"/>
    <n v="4"/>
    <s v="G&amp;A"/>
    <x v="1"/>
    <x v="3"/>
    <s v="G&amp;A Revenue - South"/>
    <n v="7457.52"/>
    <n v="8056.46"/>
  </r>
  <r>
    <x v="412"/>
    <n v="11"/>
    <n v="2025"/>
    <n v="4"/>
    <s v="HR"/>
    <x v="1"/>
    <x v="3"/>
    <s v="HR Revenue - South"/>
    <n v="5208.8100000000004"/>
    <n v="5716.44"/>
  </r>
  <r>
    <x v="413"/>
    <n v="11"/>
    <n v="2025"/>
    <n v="4"/>
    <s v="Sales"/>
    <x v="0"/>
    <x v="0"/>
    <s v="Sales Expense - East"/>
    <n v="-33216.17"/>
    <m/>
  </r>
  <r>
    <x v="414"/>
    <n v="11"/>
    <n v="2025"/>
    <n v="4"/>
    <s v="R&amp;D"/>
    <x v="0"/>
    <x v="1"/>
    <s v="R&amp;D Expense - West"/>
    <n v="-23814.15"/>
    <m/>
  </r>
  <r>
    <x v="415"/>
    <n v="11"/>
    <n v="2025"/>
    <n v="4"/>
    <s v="Subscriptions"/>
    <x v="0"/>
    <x v="1"/>
    <s v="Subscriptions Expense - West"/>
    <n v="-18969.05"/>
    <m/>
  </r>
  <r>
    <x v="416"/>
    <n v="11"/>
    <n v="2025"/>
    <n v="4"/>
    <s v="R&amp;D"/>
    <x v="0"/>
    <x v="0"/>
    <s v="R&amp;D Expense - East"/>
    <n v="-4699.6000000000004"/>
    <m/>
  </r>
  <r>
    <x v="417"/>
    <n v="11"/>
    <n v="2025"/>
    <n v="4"/>
    <s v="HR"/>
    <x v="1"/>
    <x v="0"/>
    <s v="HR Revenue - East"/>
    <n v="6381.35"/>
    <n v="6531.9"/>
  </r>
  <r>
    <x v="417"/>
    <n v="11"/>
    <n v="2025"/>
    <n v="4"/>
    <s v="HR"/>
    <x v="0"/>
    <x v="0"/>
    <s v="HR Expense - East"/>
    <n v="-4651.8500000000004"/>
    <m/>
  </r>
  <r>
    <x v="418"/>
    <n v="11"/>
    <n v="2025"/>
    <n v="4"/>
    <s v="Operations"/>
    <x v="0"/>
    <x v="0"/>
    <s v="Operations Expense - East"/>
    <n v="-14197.53"/>
    <m/>
  </r>
  <r>
    <x v="418"/>
    <n v="11"/>
    <n v="2025"/>
    <n v="4"/>
    <s v="Operations"/>
    <x v="1"/>
    <x v="3"/>
    <s v="Operations Revenue - South"/>
    <n v="19498.52"/>
    <n v="18159.78"/>
  </r>
  <r>
    <x v="418"/>
    <n v="11"/>
    <n v="2025"/>
    <n v="4"/>
    <s v="R&amp;D"/>
    <x v="1"/>
    <x v="3"/>
    <s v="R&amp;D Revenue - South"/>
    <n v="11126.35"/>
    <n v="12010.47"/>
  </r>
  <r>
    <x v="419"/>
    <n v="11"/>
    <n v="2025"/>
    <n v="4"/>
    <s v="HR"/>
    <x v="0"/>
    <x v="1"/>
    <s v="HR Expense - West"/>
    <n v="-1652.38"/>
    <m/>
  </r>
  <r>
    <x v="419"/>
    <n v="11"/>
    <n v="2025"/>
    <n v="4"/>
    <s v="G&amp;A"/>
    <x v="1"/>
    <x v="1"/>
    <s v="G&amp;A Revenue - West"/>
    <n v="7880.97"/>
    <n v="8663.57"/>
  </r>
  <r>
    <x v="419"/>
    <n v="11"/>
    <n v="2025"/>
    <n v="4"/>
    <s v="Services"/>
    <x v="0"/>
    <x v="3"/>
    <s v="Services Expense - South"/>
    <n v="-22384.74"/>
    <m/>
  </r>
  <r>
    <x v="420"/>
    <n v="11"/>
    <n v="2025"/>
    <n v="4"/>
    <s v="Sales"/>
    <x v="0"/>
    <x v="2"/>
    <s v="Sales Expense - North"/>
    <n v="-45222.26"/>
    <m/>
  </r>
  <r>
    <x v="421"/>
    <n v="11"/>
    <n v="2025"/>
    <n v="4"/>
    <s v="Operations"/>
    <x v="0"/>
    <x v="1"/>
    <s v="Operations Expense - West"/>
    <n v="-7116.19"/>
    <m/>
  </r>
  <r>
    <x v="421"/>
    <n v="11"/>
    <n v="2025"/>
    <n v="4"/>
    <s v="Operations"/>
    <x v="1"/>
    <x v="2"/>
    <s v="Operations Revenue - North"/>
    <n v="20459.11"/>
    <n v="19128.400000000001"/>
  </r>
  <r>
    <x v="421"/>
    <n v="11"/>
    <n v="2025"/>
    <n v="4"/>
    <s v="Sales"/>
    <x v="1"/>
    <x v="3"/>
    <s v="Sales Revenue - South"/>
    <n v="28325.48"/>
    <n v="26682.400000000001"/>
  </r>
  <r>
    <x v="422"/>
    <n v="11"/>
    <n v="2025"/>
    <n v="4"/>
    <s v="Subscriptions"/>
    <x v="1"/>
    <x v="2"/>
    <s v="Subscriptions Revenue - North"/>
    <n v="28164.04"/>
    <n v="29019.39"/>
  </r>
  <r>
    <x v="422"/>
    <n v="11"/>
    <n v="2025"/>
    <n v="4"/>
    <s v="Operations"/>
    <x v="0"/>
    <x v="3"/>
    <s v="Operations Expense - South"/>
    <n v="-11741"/>
    <m/>
  </r>
  <r>
    <x v="423"/>
    <n v="11"/>
    <n v="2025"/>
    <n v="4"/>
    <s v="G&amp;A"/>
    <x v="0"/>
    <x v="1"/>
    <s v="G&amp;A Expense - West"/>
    <n v="-6577.03"/>
    <m/>
  </r>
  <r>
    <x v="423"/>
    <n v="11"/>
    <n v="2025"/>
    <n v="4"/>
    <s v="Operations"/>
    <x v="0"/>
    <x v="2"/>
    <s v="Operations Expense - North"/>
    <n v="-30852.02"/>
    <m/>
  </r>
  <r>
    <x v="424"/>
    <n v="11"/>
    <n v="2025"/>
    <n v="4"/>
    <s v="Operations"/>
    <x v="1"/>
    <x v="0"/>
    <s v="Operations Revenue - East"/>
    <n v="19245.849999999999"/>
    <n v="20135.73"/>
  </r>
  <r>
    <x v="424"/>
    <n v="11"/>
    <n v="2025"/>
    <n v="4"/>
    <s v="Subscriptions"/>
    <x v="1"/>
    <x v="1"/>
    <s v="Subscriptions Revenue - West"/>
    <n v="25115.21"/>
    <n v="25611.69"/>
  </r>
  <r>
    <x v="424"/>
    <n v="11"/>
    <n v="2025"/>
    <n v="4"/>
    <s v="R&amp;D"/>
    <x v="1"/>
    <x v="1"/>
    <s v="R&amp;D Revenue - West"/>
    <n v="16678.47"/>
    <n v="18027.93"/>
  </r>
  <r>
    <x v="424"/>
    <n v="11"/>
    <n v="2025"/>
    <n v="4"/>
    <s v="Sales"/>
    <x v="0"/>
    <x v="3"/>
    <s v="Sales Expense - South"/>
    <n v="-39841.96"/>
    <m/>
  </r>
  <r>
    <x v="424"/>
    <n v="11"/>
    <n v="2025"/>
    <n v="4"/>
    <s v="HR"/>
    <x v="0"/>
    <x v="3"/>
    <s v="HR Expense - South"/>
    <n v="-3657.87"/>
    <m/>
  </r>
  <r>
    <x v="425"/>
    <n v="11"/>
    <n v="2025"/>
    <n v="4"/>
    <s v="Subscriptions"/>
    <x v="1"/>
    <x v="0"/>
    <s v="Subscriptions Revenue - East"/>
    <n v="34627.58"/>
    <n v="37074.44"/>
  </r>
  <r>
    <x v="425"/>
    <n v="11"/>
    <n v="2025"/>
    <n v="4"/>
    <s v="Marketing"/>
    <x v="1"/>
    <x v="0"/>
    <s v="Marketing Revenue - East"/>
    <n v="11826.04"/>
    <n v="11194.33"/>
  </r>
  <r>
    <x v="425"/>
    <n v="11"/>
    <n v="2025"/>
    <n v="4"/>
    <s v="Operations"/>
    <x v="1"/>
    <x v="1"/>
    <s v="Operations Revenue - West"/>
    <n v="19180.39"/>
    <n v="18451.8"/>
  </r>
  <r>
    <x v="426"/>
    <n v="11"/>
    <n v="2025"/>
    <n v="4"/>
    <s v="Marketing"/>
    <x v="1"/>
    <x v="1"/>
    <s v="Marketing Revenue - West"/>
    <n v="9389.36"/>
    <n v="9341.6200000000008"/>
  </r>
  <r>
    <x v="427"/>
    <n v="11"/>
    <n v="2025"/>
    <n v="4"/>
    <s v="R&amp;D"/>
    <x v="1"/>
    <x v="2"/>
    <s v="R&amp;D Revenue - North"/>
    <n v="10401.23"/>
    <n v="10799.74"/>
  </r>
  <r>
    <x v="427"/>
    <n v="11"/>
    <n v="2025"/>
    <n v="4"/>
    <s v="G&amp;A"/>
    <x v="0"/>
    <x v="3"/>
    <s v="G&amp;A Expense - South"/>
    <n v="-3557.97"/>
    <m/>
  </r>
  <r>
    <x v="428"/>
    <n v="12"/>
    <n v="2025"/>
    <n v="4"/>
    <s v="Services"/>
    <x v="1"/>
    <x v="1"/>
    <s v="Services Revenue - West"/>
    <n v="21003.27"/>
    <n v="21202.28"/>
  </r>
  <r>
    <x v="428"/>
    <n v="12"/>
    <n v="2025"/>
    <n v="4"/>
    <s v="Services"/>
    <x v="1"/>
    <x v="3"/>
    <s v="Services Revenue - South"/>
    <n v="16961.439999999999"/>
    <n v="16363.98"/>
  </r>
  <r>
    <x v="429"/>
    <n v="12"/>
    <n v="2025"/>
    <n v="4"/>
    <s v="Subscriptions"/>
    <x v="1"/>
    <x v="0"/>
    <s v="Subscriptions Revenue - East"/>
    <n v="25480.12"/>
    <n v="24202.51"/>
  </r>
  <r>
    <x v="430"/>
    <n v="12"/>
    <n v="2025"/>
    <n v="4"/>
    <s v="Marketing"/>
    <x v="1"/>
    <x v="2"/>
    <s v="Marketing Revenue - North"/>
    <n v="6135.59"/>
    <n v="6162.24"/>
  </r>
  <r>
    <x v="431"/>
    <n v="12"/>
    <n v="2025"/>
    <n v="4"/>
    <s v="Marketing"/>
    <x v="0"/>
    <x v="0"/>
    <s v="Marketing Expense - East"/>
    <n v="-2925.57"/>
    <m/>
  </r>
  <r>
    <x v="431"/>
    <n v="12"/>
    <n v="2025"/>
    <n v="4"/>
    <s v="Marketing"/>
    <x v="1"/>
    <x v="3"/>
    <s v="Marketing Revenue - South"/>
    <n v="6284.63"/>
    <n v="5952.98"/>
  </r>
  <r>
    <x v="432"/>
    <n v="12"/>
    <n v="2025"/>
    <n v="4"/>
    <s v="Services"/>
    <x v="1"/>
    <x v="0"/>
    <s v="Services Revenue - East"/>
    <n v="23640.09"/>
    <n v="22891.47"/>
  </r>
  <r>
    <x v="432"/>
    <n v="12"/>
    <n v="2025"/>
    <n v="4"/>
    <s v="Sales"/>
    <x v="1"/>
    <x v="3"/>
    <s v="Sales Revenue - South"/>
    <n v="27699"/>
    <n v="27530.6"/>
  </r>
  <r>
    <x v="433"/>
    <n v="12"/>
    <n v="2025"/>
    <n v="4"/>
    <s v="Operations"/>
    <x v="1"/>
    <x v="0"/>
    <s v="Operations Revenue - East"/>
    <n v="11703.86"/>
    <n v="10982.73"/>
  </r>
  <r>
    <x v="434"/>
    <n v="12"/>
    <n v="2025"/>
    <n v="4"/>
    <s v="Sales"/>
    <x v="0"/>
    <x v="0"/>
    <s v="Sales Expense - East"/>
    <n v="-12216.04"/>
    <m/>
  </r>
  <r>
    <x v="434"/>
    <n v="12"/>
    <n v="2025"/>
    <n v="4"/>
    <s v="HR"/>
    <x v="1"/>
    <x v="2"/>
    <s v="HR Revenue - North"/>
    <n v="4725.04"/>
    <n v="4780.6499999999996"/>
  </r>
  <r>
    <x v="434"/>
    <n v="12"/>
    <n v="2025"/>
    <n v="4"/>
    <s v="HR"/>
    <x v="0"/>
    <x v="2"/>
    <s v="HR Expense - North"/>
    <n v="-3228.94"/>
    <m/>
  </r>
  <r>
    <x v="434"/>
    <n v="12"/>
    <n v="2025"/>
    <n v="4"/>
    <s v="R&amp;D"/>
    <x v="0"/>
    <x v="3"/>
    <s v="R&amp;D Expense - South"/>
    <n v="-16875.89"/>
    <m/>
  </r>
  <r>
    <x v="435"/>
    <n v="12"/>
    <n v="2025"/>
    <n v="4"/>
    <s v="R&amp;D"/>
    <x v="1"/>
    <x v="1"/>
    <s v="R&amp;D Revenue - West"/>
    <n v="9013.77"/>
    <n v="8822.58"/>
  </r>
  <r>
    <x v="435"/>
    <n v="12"/>
    <n v="2025"/>
    <n v="4"/>
    <s v="Operations"/>
    <x v="0"/>
    <x v="3"/>
    <s v="Operations Expense - South"/>
    <n v="-9866.1200000000008"/>
    <m/>
  </r>
  <r>
    <x v="436"/>
    <n v="12"/>
    <n v="2025"/>
    <n v="4"/>
    <s v="Services"/>
    <x v="0"/>
    <x v="0"/>
    <s v="Services Expense - East"/>
    <n v="-28634.080000000002"/>
    <m/>
  </r>
  <r>
    <x v="436"/>
    <n v="12"/>
    <n v="2025"/>
    <n v="4"/>
    <s v="G&amp;A"/>
    <x v="0"/>
    <x v="1"/>
    <s v="G&amp;A Expense - West"/>
    <n v="-6694.78"/>
    <m/>
  </r>
  <r>
    <x v="436"/>
    <n v="12"/>
    <n v="2025"/>
    <n v="4"/>
    <s v="Marketing"/>
    <x v="0"/>
    <x v="2"/>
    <s v="Marketing Expense - North"/>
    <n v="-4545.95"/>
    <m/>
  </r>
  <r>
    <x v="437"/>
    <n v="12"/>
    <n v="2025"/>
    <n v="4"/>
    <s v="Operations"/>
    <x v="1"/>
    <x v="1"/>
    <s v="Operations Revenue - West"/>
    <n v="16254"/>
    <n v="17536.7"/>
  </r>
  <r>
    <x v="438"/>
    <n v="12"/>
    <n v="2025"/>
    <n v="4"/>
    <s v="Operations"/>
    <x v="0"/>
    <x v="0"/>
    <s v="Operations Expense - East"/>
    <n v="-8389.94"/>
    <m/>
  </r>
  <r>
    <x v="438"/>
    <n v="12"/>
    <n v="2025"/>
    <n v="4"/>
    <s v="Marketing"/>
    <x v="1"/>
    <x v="1"/>
    <s v="Marketing Revenue - West"/>
    <n v="8863"/>
    <n v="9544.7999999999993"/>
  </r>
  <r>
    <x v="438"/>
    <n v="12"/>
    <n v="2025"/>
    <n v="4"/>
    <s v="Sales"/>
    <x v="0"/>
    <x v="2"/>
    <s v="Sales Expense - North"/>
    <n v="-31625.78"/>
    <m/>
  </r>
  <r>
    <x v="439"/>
    <n v="12"/>
    <n v="2025"/>
    <n v="4"/>
    <s v="R&amp;D"/>
    <x v="1"/>
    <x v="0"/>
    <s v="R&amp;D Revenue - East"/>
    <n v="13174.22"/>
    <n v="14299.65"/>
  </r>
  <r>
    <x v="439"/>
    <n v="12"/>
    <n v="2025"/>
    <n v="4"/>
    <s v="Operations"/>
    <x v="0"/>
    <x v="1"/>
    <s v="Operations Expense - West"/>
    <n v="-13393.45"/>
    <m/>
  </r>
  <r>
    <x v="439"/>
    <n v="12"/>
    <n v="2025"/>
    <n v="4"/>
    <s v="HR"/>
    <x v="1"/>
    <x v="1"/>
    <s v="HR Revenue - West"/>
    <n v="5022.55"/>
    <n v="4832.88"/>
  </r>
  <r>
    <x v="439"/>
    <n v="12"/>
    <n v="2025"/>
    <n v="4"/>
    <s v="HR"/>
    <x v="0"/>
    <x v="1"/>
    <s v="HR Expense - West"/>
    <n v="-1536.9"/>
    <m/>
  </r>
  <r>
    <x v="439"/>
    <n v="12"/>
    <n v="2025"/>
    <n v="4"/>
    <s v="G&amp;A"/>
    <x v="0"/>
    <x v="3"/>
    <s v="G&amp;A Expense - South"/>
    <n v="-5635.4"/>
    <m/>
  </r>
  <r>
    <x v="440"/>
    <n v="12"/>
    <n v="2025"/>
    <n v="4"/>
    <s v="Subscriptions"/>
    <x v="0"/>
    <x v="0"/>
    <s v="Subscriptions Expense - East"/>
    <n v="-19956.21"/>
    <m/>
  </r>
  <r>
    <x v="440"/>
    <n v="12"/>
    <n v="2025"/>
    <n v="4"/>
    <s v="R&amp;D"/>
    <x v="0"/>
    <x v="0"/>
    <s v="R&amp;D Expense - East"/>
    <n v="-8080.39"/>
    <m/>
  </r>
  <r>
    <x v="440"/>
    <n v="12"/>
    <n v="2025"/>
    <n v="4"/>
    <s v="Subscriptions"/>
    <x v="0"/>
    <x v="1"/>
    <s v="Subscriptions Expense - West"/>
    <n v="-11523.89"/>
    <m/>
  </r>
  <r>
    <x v="440"/>
    <n v="12"/>
    <n v="2025"/>
    <n v="4"/>
    <s v="Marketing"/>
    <x v="0"/>
    <x v="3"/>
    <s v="Marketing Expense - South"/>
    <n v="-2593.16"/>
    <m/>
  </r>
  <r>
    <x v="440"/>
    <n v="12"/>
    <n v="2025"/>
    <n v="4"/>
    <s v="G&amp;A"/>
    <x v="1"/>
    <x v="3"/>
    <s v="G&amp;A Revenue - South"/>
    <n v="4513.76"/>
    <n v="4921.8999999999996"/>
  </r>
  <r>
    <x v="441"/>
    <n v="12"/>
    <n v="2025"/>
    <n v="4"/>
    <s v="Services"/>
    <x v="0"/>
    <x v="1"/>
    <s v="Services Expense - West"/>
    <n v="-10963.72"/>
    <m/>
  </r>
  <r>
    <x v="441"/>
    <n v="12"/>
    <n v="2025"/>
    <n v="4"/>
    <s v="Services"/>
    <x v="1"/>
    <x v="2"/>
    <s v="Services Revenue - North"/>
    <n v="14155.23"/>
    <n v="14620.18"/>
  </r>
  <r>
    <x v="441"/>
    <n v="12"/>
    <n v="2025"/>
    <n v="4"/>
    <s v="Subscriptions"/>
    <x v="1"/>
    <x v="3"/>
    <s v="Subscriptions Revenue - South"/>
    <n v="22829.89"/>
    <n v="21737.98"/>
  </r>
  <r>
    <x v="441"/>
    <n v="12"/>
    <n v="2025"/>
    <n v="4"/>
    <s v="Subscriptions"/>
    <x v="0"/>
    <x v="3"/>
    <s v="Subscriptions Expense - South"/>
    <n v="-11444.77"/>
    <m/>
  </r>
  <r>
    <x v="441"/>
    <n v="12"/>
    <n v="2025"/>
    <n v="4"/>
    <s v="HR"/>
    <x v="1"/>
    <x v="3"/>
    <s v="HR Revenue - South"/>
    <n v="3733.01"/>
    <n v="3977.81"/>
  </r>
  <r>
    <x v="442"/>
    <n v="12"/>
    <n v="2025"/>
    <n v="4"/>
    <s v="R&amp;D"/>
    <x v="0"/>
    <x v="1"/>
    <s v="R&amp;D Expense - West"/>
    <n v="-6766.92"/>
    <m/>
  </r>
  <r>
    <x v="442"/>
    <n v="12"/>
    <n v="2025"/>
    <n v="4"/>
    <s v="HR"/>
    <x v="0"/>
    <x v="3"/>
    <s v="HR Expense - South"/>
    <n v="-3605.25"/>
    <m/>
  </r>
  <r>
    <x v="443"/>
    <n v="12"/>
    <n v="2025"/>
    <n v="4"/>
    <s v="Sales"/>
    <x v="1"/>
    <x v="0"/>
    <s v="Sales Revenue - East"/>
    <n v="24002.92"/>
    <n v="24062.28"/>
  </r>
  <r>
    <x v="443"/>
    <n v="12"/>
    <n v="2025"/>
    <n v="4"/>
    <s v="Services"/>
    <x v="0"/>
    <x v="2"/>
    <s v="Services Expense - North"/>
    <n v="-11803.42"/>
    <m/>
  </r>
  <r>
    <x v="443"/>
    <n v="12"/>
    <n v="2025"/>
    <n v="4"/>
    <s v="Subscriptions"/>
    <x v="0"/>
    <x v="2"/>
    <s v="Subscriptions Expense - North"/>
    <n v="-7525.5"/>
    <m/>
  </r>
  <r>
    <x v="444"/>
    <n v="12"/>
    <n v="2025"/>
    <n v="4"/>
    <s v="Sales"/>
    <x v="0"/>
    <x v="3"/>
    <s v="Sales Expense - South"/>
    <n v="-10920.34"/>
    <m/>
  </r>
  <r>
    <x v="445"/>
    <n v="12"/>
    <n v="2025"/>
    <n v="4"/>
    <s v="G&amp;A"/>
    <x v="1"/>
    <x v="1"/>
    <s v="G&amp;A Revenue - West"/>
    <n v="4405.1400000000003"/>
    <n v="4423.62"/>
  </r>
  <r>
    <x v="446"/>
    <n v="12"/>
    <n v="2025"/>
    <n v="4"/>
    <s v="Sales"/>
    <x v="1"/>
    <x v="1"/>
    <s v="Sales Revenue - West"/>
    <n v="26217.49"/>
    <n v="24658.26"/>
  </r>
  <r>
    <x v="447"/>
    <n v="12"/>
    <n v="2025"/>
    <n v="4"/>
    <s v="G&amp;A"/>
    <x v="1"/>
    <x v="0"/>
    <s v="G&amp;A Revenue - East"/>
    <n v="5528.62"/>
    <n v="5147.46"/>
  </r>
  <r>
    <x v="447"/>
    <n v="12"/>
    <n v="2025"/>
    <n v="4"/>
    <s v="G&amp;A"/>
    <x v="0"/>
    <x v="0"/>
    <s v="G&amp;A Expense - East"/>
    <n v="-6517.71"/>
    <m/>
  </r>
  <r>
    <x v="447"/>
    <n v="12"/>
    <n v="2025"/>
    <n v="4"/>
    <s v="Sales"/>
    <x v="0"/>
    <x v="1"/>
    <s v="Sales Expense - West"/>
    <n v="-12853.1"/>
    <m/>
  </r>
  <r>
    <x v="447"/>
    <n v="12"/>
    <n v="2025"/>
    <n v="4"/>
    <s v="R&amp;D"/>
    <x v="1"/>
    <x v="2"/>
    <s v="R&amp;D Revenue - North"/>
    <n v="10686.11"/>
    <n v="10933.44"/>
  </r>
  <r>
    <x v="448"/>
    <n v="12"/>
    <n v="2025"/>
    <n v="4"/>
    <s v="HR"/>
    <x v="1"/>
    <x v="0"/>
    <s v="HR Revenue - East"/>
    <n v="4216.38"/>
    <n v="4591.6499999999996"/>
  </r>
  <r>
    <x v="449"/>
    <n v="12"/>
    <n v="2025"/>
    <n v="4"/>
    <s v="Sales"/>
    <x v="1"/>
    <x v="2"/>
    <s v="Sales Revenue - North"/>
    <n v="22967.85"/>
    <n v="23536.89"/>
  </r>
  <r>
    <x v="449"/>
    <n v="12"/>
    <n v="2025"/>
    <n v="4"/>
    <s v="Operations"/>
    <x v="1"/>
    <x v="2"/>
    <s v="Operations Revenue - North"/>
    <n v="11267.5"/>
    <n v="11200.18"/>
  </r>
  <r>
    <x v="449"/>
    <n v="12"/>
    <n v="2025"/>
    <n v="4"/>
    <s v="Operations"/>
    <x v="0"/>
    <x v="2"/>
    <s v="Operations Expense - North"/>
    <n v="-5932.81"/>
    <m/>
  </r>
  <r>
    <x v="450"/>
    <n v="12"/>
    <n v="2025"/>
    <n v="4"/>
    <s v="R&amp;D"/>
    <x v="0"/>
    <x v="2"/>
    <s v="R&amp;D Expense - North"/>
    <n v="-9819.68"/>
    <m/>
  </r>
  <r>
    <x v="450"/>
    <n v="12"/>
    <n v="2025"/>
    <n v="4"/>
    <s v="Services"/>
    <x v="0"/>
    <x v="3"/>
    <s v="Services Expense - South"/>
    <n v="-6232.53"/>
    <m/>
  </r>
  <r>
    <x v="451"/>
    <n v="12"/>
    <n v="2025"/>
    <n v="4"/>
    <s v="HR"/>
    <x v="0"/>
    <x v="0"/>
    <s v="HR Expense - East"/>
    <n v="-3404.21"/>
    <m/>
  </r>
  <r>
    <x v="451"/>
    <n v="12"/>
    <n v="2025"/>
    <n v="4"/>
    <s v="Marketing"/>
    <x v="0"/>
    <x v="1"/>
    <s v="Marketing Expense - West"/>
    <n v="-5584.53"/>
    <m/>
  </r>
  <r>
    <x v="451"/>
    <n v="12"/>
    <n v="2025"/>
    <n v="4"/>
    <s v="Subscriptions"/>
    <x v="1"/>
    <x v="2"/>
    <s v="Subscriptions Revenue - North"/>
    <n v="16212.07"/>
    <n v="16833.89"/>
  </r>
  <r>
    <x v="452"/>
    <n v="12"/>
    <n v="2025"/>
    <n v="4"/>
    <s v="Subscriptions"/>
    <x v="1"/>
    <x v="1"/>
    <s v="Subscriptions Revenue - West"/>
    <n v="17773.080000000002"/>
    <n v="19250.68"/>
  </r>
  <r>
    <x v="453"/>
    <n v="12"/>
    <n v="2025"/>
    <n v="4"/>
    <s v="Marketing"/>
    <x v="1"/>
    <x v="0"/>
    <s v="Marketing Revenue - East"/>
    <n v="7274.51"/>
    <n v="6844.96"/>
  </r>
  <r>
    <x v="453"/>
    <n v="12"/>
    <n v="2025"/>
    <n v="4"/>
    <s v="G&amp;A"/>
    <x v="0"/>
    <x v="2"/>
    <s v="G&amp;A Expense - North"/>
    <n v="-1445.37"/>
    <m/>
  </r>
  <r>
    <x v="453"/>
    <n v="12"/>
    <n v="2025"/>
    <n v="4"/>
    <s v="R&amp;D"/>
    <x v="1"/>
    <x v="3"/>
    <s v="R&amp;D Revenue - South"/>
    <n v="10304.17"/>
    <n v="10266.540000000001"/>
  </r>
  <r>
    <x v="454"/>
    <n v="12"/>
    <n v="2025"/>
    <n v="4"/>
    <s v="G&amp;A"/>
    <x v="1"/>
    <x v="2"/>
    <s v="G&amp;A Revenue - North"/>
    <n v="4395.8599999999997"/>
    <n v="4433.8599999999997"/>
  </r>
  <r>
    <x v="454"/>
    <n v="12"/>
    <n v="2025"/>
    <n v="4"/>
    <s v="Operations"/>
    <x v="1"/>
    <x v="3"/>
    <s v="Operations Revenue - South"/>
    <n v="13214.55"/>
    <n v="13032.46"/>
  </r>
  <r>
    <x v="455"/>
    <n v="1"/>
    <n v="2026"/>
    <n v="1"/>
    <s v="R&amp;D"/>
    <x v="1"/>
    <x v="1"/>
    <s v="R&amp;D Revenue - West"/>
    <n v="13087.97"/>
    <n v="13105.44"/>
  </r>
  <r>
    <x v="456"/>
    <n v="1"/>
    <n v="2026"/>
    <n v="1"/>
    <s v="Sales"/>
    <x v="1"/>
    <x v="0"/>
    <s v="Sales Revenue - East"/>
    <n v="26608.37"/>
    <n v="26627.96"/>
  </r>
  <r>
    <x v="457"/>
    <n v="1"/>
    <n v="2026"/>
    <n v="1"/>
    <s v="Marketing"/>
    <x v="0"/>
    <x v="0"/>
    <s v="Marketing Expense - East"/>
    <n v="-4468.8"/>
    <m/>
  </r>
  <r>
    <x v="457"/>
    <n v="1"/>
    <n v="2026"/>
    <n v="1"/>
    <s v="R&amp;D"/>
    <x v="1"/>
    <x v="0"/>
    <s v="R&amp;D Revenue - East"/>
    <n v="11251.12"/>
    <n v="10928.07"/>
  </r>
  <r>
    <x v="457"/>
    <n v="1"/>
    <n v="2026"/>
    <n v="1"/>
    <s v="HR"/>
    <x v="1"/>
    <x v="3"/>
    <s v="HR Revenue - South"/>
    <n v="3668.44"/>
    <n v="3821.04"/>
  </r>
  <r>
    <x v="458"/>
    <n v="1"/>
    <n v="2026"/>
    <n v="1"/>
    <s v="Subscriptions"/>
    <x v="1"/>
    <x v="2"/>
    <s v="Subscriptions Revenue - North"/>
    <n v="20543.02"/>
    <n v="21126.14"/>
  </r>
  <r>
    <x v="458"/>
    <n v="1"/>
    <n v="2026"/>
    <n v="1"/>
    <s v="Subscriptions"/>
    <x v="0"/>
    <x v="2"/>
    <s v="Subscriptions Expense - North"/>
    <n v="-7356.44"/>
    <m/>
  </r>
  <r>
    <x v="459"/>
    <n v="1"/>
    <n v="2026"/>
    <n v="1"/>
    <s v="Operations"/>
    <x v="0"/>
    <x v="1"/>
    <s v="Operations Expense - West"/>
    <n v="-4587.92"/>
    <m/>
  </r>
  <r>
    <x v="459"/>
    <n v="1"/>
    <n v="2026"/>
    <n v="1"/>
    <s v="G&amp;A"/>
    <x v="0"/>
    <x v="2"/>
    <s v="G&amp;A Expense - North"/>
    <n v="-2085.2399999999998"/>
    <m/>
  </r>
  <r>
    <x v="460"/>
    <n v="1"/>
    <n v="2026"/>
    <n v="1"/>
    <s v="Services"/>
    <x v="0"/>
    <x v="1"/>
    <s v="Services Expense - West"/>
    <n v="-15972.67"/>
    <m/>
  </r>
  <r>
    <x v="460"/>
    <n v="1"/>
    <n v="2026"/>
    <n v="1"/>
    <s v="Marketing"/>
    <x v="0"/>
    <x v="1"/>
    <s v="Marketing Expense - West"/>
    <n v="-4351.84"/>
    <m/>
  </r>
  <r>
    <x v="460"/>
    <n v="1"/>
    <n v="2026"/>
    <n v="1"/>
    <s v="HR"/>
    <x v="0"/>
    <x v="1"/>
    <s v="HR Expense - West"/>
    <n v="-1621.18"/>
    <m/>
  </r>
  <r>
    <x v="460"/>
    <n v="1"/>
    <n v="2026"/>
    <n v="1"/>
    <s v="R&amp;D"/>
    <x v="0"/>
    <x v="1"/>
    <s v="R&amp;D Expense - West"/>
    <n v="-4186.5"/>
    <m/>
  </r>
  <r>
    <x v="460"/>
    <n v="1"/>
    <n v="2026"/>
    <n v="1"/>
    <s v="Sales"/>
    <x v="0"/>
    <x v="3"/>
    <s v="Sales Expense - South"/>
    <n v="-33407.199999999997"/>
    <m/>
  </r>
  <r>
    <x v="461"/>
    <n v="1"/>
    <n v="2026"/>
    <n v="1"/>
    <s v="Services"/>
    <x v="0"/>
    <x v="2"/>
    <s v="Services Expense - North"/>
    <n v="-10394.84"/>
    <m/>
  </r>
  <r>
    <x v="461"/>
    <n v="1"/>
    <n v="2026"/>
    <n v="1"/>
    <s v="Sales"/>
    <x v="1"/>
    <x v="3"/>
    <s v="Sales Revenue - South"/>
    <n v="23877.09"/>
    <n v="24613.72"/>
  </r>
  <r>
    <x v="462"/>
    <n v="1"/>
    <n v="2026"/>
    <n v="1"/>
    <s v="Services"/>
    <x v="0"/>
    <x v="0"/>
    <s v="Services Expense - East"/>
    <n v="-15156.54"/>
    <m/>
  </r>
  <r>
    <x v="463"/>
    <n v="1"/>
    <n v="2026"/>
    <n v="1"/>
    <s v="Operations"/>
    <x v="1"/>
    <x v="2"/>
    <s v="Operations Revenue - North"/>
    <n v="16933.53"/>
    <n v="16439.79"/>
  </r>
  <r>
    <x v="464"/>
    <n v="1"/>
    <n v="2026"/>
    <n v="1"/>
    <s v="Operations"/>
    <x v="1"/>
    <x v="0"/>
    <s v="Operations Revenue - East"/>
    <n v="13070.48"/>
    <n v="12636.75"/>
  </r>
  <r>
    <x v="464"/>
    <n v="1"/>
    <n v="2026"/>
    <n v="1"/>
    <s v="G&amp;A"/>
    <x v="0"/>
    <x v="0"/>
    <s v="G&amp;A Expense - East"/>
    <n v="-5241.68"/>
    <m/>
  </r>
  <r>
    <x v="464"/>
    <n v="1"/>
    <n v="2026"/>
    <n v="1"/>
    <s v="Sales"/>
    <x v="0"/>
    <x v="1"/>
    <s v="Sales Expense - West"/>
    <n v="-44462.6"/>
    <m/>
  </r>
  <r>
    <x v="464"/>
    <n v="1"/>
    <n v="2026"/>
    <n v="1"/>
    <s v="Services"/>
    <x v="1"/>
    <x v="1"/>
    <s v="Services Revenue - West"/>
    <n v="20999.73"/>
    <n v="21538.880000000001"/>
  </r>
  <r>
    <x v="465"/>
    <n v="1"/>
    <n v="2026"/>
    <n v="1"/>
    <s v="HR"/>
    <x v="0"/>
    <x v="0"/>
    <s v="HR Expense - East"/>
    <n v="-4924.05"/>
    <m/>
  </r>
  <r>
    <x v="466"/>
    <n v="1"/>
    <n v="2026"/>
    <n v="1"/>
    <s v="Services"/>
    <x v="1"/>
    <x v="3"/>
    <s v="Services Revenue - South"/>
    <n v="15755.81"/>
    <n v="16738.490000000002"/>
  </r>
  <r>
    <x v="467"/>
    <n v="1"/>
    <n v="2026"/>
    <n v="1"/>
    <s v="Sales"/>
    <x v="1"/>
    <x v="1"/>
    <s v="Sales Revenue - West"/>
    <n v="33783.99"/>
    <n v="35850.6"/>
  </r>
  <r>
    <x v="467"/>
    <n v="1"/>
    <n v="2026"/>
    <n v="1"/>
    <s v="Marketing"/>
    <x v="0"/>
    <x v="2"/>
    <s v="Marketing Expense - North"/>
    <n v="-6675.65"/>
    <m/>
  </r>
  <r>
    <x v="468"/>
    <n v="1"/>
    <n v="2026"/>
    <n v="1"/>
    <s v="Subscriptions"/>
    <x v="0"/>
    <x v="0"/>
    <s v="Subscriptions Expense - East"/>
    <n v="-10303.9"/>
    <m/>
  </r>
  <r>
    <x v="468"/>
    <n v="1"/>
    <n v="2026"/>
    <n v="1"/>
    <s v="G&amp;A"/>
    <x v="0"/>
    <x v="3"/>
    <s v="G&amp;A Expense - South"/>
    <n v="-3693.54"/>
    <m/>
  </r>
  <r>
    <x v="469"/>
    <n v="1"/>
    <n v="2026"/>
    <n v="1"/>
    <s v="Subscriptions"/>
    <x v="0"/>
    <x v="1"/>
    <s v="Subscriptions Expense - West"/>
    <n v="-18775.12"/>
    <m/>
  </r>
  <r>
    <x v="469"/>
    <n v="1"/>
    <n v="2026"/>
    <n v="1"/>
    <s v="Operations"/>
    <x v="0"/>
    <x v="3"/>
    <s v="Operations Expense - South"/>
    <n v="-11541"/>
    <m/>
  </r>
  <r>
    <x v="470"/>
    <n v="1"/>
    <n v="2026"/>
    <n v="1"/>
    <s v="Sales"/>
    <x v="1"/>
    <x v="2"/>
    <s v="Sales Revenue - North"/>
    <n v="21004.86"/>
    <n v="22752.46"/>
  </r>
  <r>
    <x v="470"/>
    <n v="1"/>
    <n v="2026"/>
    <n v="1"/>
    <s v="Sales"/>
    <x v="0"/>
    <x v="2"/>
    <s v="Sales Expense - North"/>
    <n v="-12323.47"/>
    <m/>
  </r>
  <r>
    <x v="470"/>
    <n v="1"/>
    <n v="2026"/>
    <n v="1"/>
    <s v="Marketing"/>
    <x v="0"/>
    <x v="3"/>
    <s v="Marketing Expense - South"/>
    <n v="-4958.8"/>
    <m/>
  </r>
  <r>
    <x v="470"/>
    <n v="1"/>
    <n v="2026"/>
    <n v="1"/>
    <s v="Operations"/>
    <x v="1"/>
    <x v="3"/>
    <s v="Operations Revenue - South"/>
    <n v="13834.96"/>
    <n v="14047.24"/>
  </r>
  <r>
    <x v="470"/>
    <n v="1"/>
    <n v="2026"/>
    <n v="1"/>
    <s v="HR"/>
    <x v="0"/>
    <x v="3"/>
    <s v="HR Expense - South"/>
    <n v="-4307.59"/>
    <m/>
  </r>
  <r>
    <x v="470"/>
    <n v="1"/>
    <n v="2026"/>
    <n v="1"/>
    <s v="R&amp;D"/>
    <x v="0"/>
    <x v="3"/>
    <s v="R&amp;D Expense - South"/>
    <n v="-11162.289999999999"/>
    <m/>
  </r>
  <r>
    <x v="471"/>
    <n v="1"/>
    <n v="2026"/>
    <n v="1"/>
    <s v="HR"/>
    <x v="1"/>
    <x v="2"/>
    <s v="HR Revenue - North"/>
    <n v="3639.57"/>
    <n v="3778.03"/>
  </r>
  <r>
    <x v="472"/>
    <n v="1"/>
    <n v="2026"/>
    <n v="1"/>
    <s v="Sales"/>
    <x v="0"/>
    <x v="0"/>
    <s v="Sales Expense - East"/>
    <n v="-16585.02"/>
    <m/>
  </r>
  <r>
    <x v="472"/>
    <n v="1"/>
    <n v="2026"/>
    <n v="1"/>
    <s v="HR"/>
    <x v="0"/>
    <x v="2"/>
    <s v="HR Expense - North"/>
    <n v="-2398.83"/>
    <m/>
  </r>
  <r>
    <x v="473"/>
    <n v="1"/>
    <n v="2026"/>
    <n v="1"/>
    <s v="Subscriptions"/>
    <x v="1"/>
    <x v="0"/>
    <s v="Subscriptions Revenue - East"/>
    <n v="27061.88"/>
    <n v="29204.87"/>
  </r>
  <r>
    <x v="473"/>
    <n v="1"/>
    <n v="2026"/>
    <n v="1"/>
    <s v="R&amp;D"/>
    <x v="1"/>
    <x v="2"/>
    <s v="R&amp;D Revenue - North"/>
    <n v="10805.59"/>
    <n v="10678.79"/>
  </r>
  <r>
    <x v="473"/>
    <n v="1"/>
    <n v="2026"/>
    <n v="1"/>
    <s v="G&amp;A"/>
    <x v="1"/>
    <x v="3"/>
    <s v="G&amp;A Revenue - South"/>
    <n v="4207.29"/>
    <n v="4558.4799999999996"/>
  </r>
  <r>
    <x v="474"/>
    <n v="1"/>
    <n v="2026"/>
    <n v="1"/>
    <s v="G&amp;A"/>
    <x v="1"/>
    <x v="1"/>
    <s v="G&amp;A Revenue - West"/>
    <n v="5535.68"/>
    <n v="5639.74"/>
  </r>
  <r>
    <x v="475"/>
    <n v="1"/>
    <n v="2026"/>
    <n v="1"/>
    <s v="Marketing"/>
    <x v="1"/>
    <x v="0"/>
    <s v="Marketing Revenue - East"/>
    <n v="7821.91"/>
    <n v="8246.52"/>
  </r>
  <r>
    <x v="475"/>
    <n v="1"/>
    <n v="2026"/>
    <n v="1"/>
    <s v="HR"/>
    <x v="1"/>
    <x v="0"/>
    <s v="HR Revenue - East"/>
    <n v="3865.83"/>
    <n v="4057.65"/>
  </r>
  <r>
    <x v="475"/>
    <n v="1"/>
    <n v="2026"/>
    <n v="1"/>
    <s v="R&amp;D"/>
    <x v="0"/>
    <x v="0"/>
    <s v="R&amp;D Expense - East"/>
    <n v="-8419.3799999999992"/>
    <m/>
  </r>
  <r>
    <x v="475"/>
    <n v="1"/>
    <n v="2026"/>
    <n v="1"/>
    <s v="Marketing"/>
    <x v="1"/>
    <x v="2"/>
    <s v="Marketing Revenue - North"/>
    <n v="7776.05"/>
    <n v="8489.27"/>
  </r>
  <r>
    <x v="475"/>
    <n v="1"/>
    <n v="2026"/>
    <n v="1"/>
    <s v="Services"/>
    <x v="0"/>
    <x v="3"/>
    <s v="Services Expense - South"/>
    <n v="-8676.64"/>
    <m/>
  </r>
  <r>
    <x v="475"/>
    <n v="1"/>
    <n v="2026"/>
    <n v="1"/>
    <s v="Marketing"/>
    <x v="1"/>
    <x v="3"/>
    <s v="Marketing Revenue - South"/>
    <n v="6682.03"/>
    <n v="6440.53"/>
  </r>
  <r>
    <x v="476"/>
    <n v="1"/>
    <n v="2026"/>
    <n v="1"/>
    <s v="Operations"/>
    <x v="0"/>
    <x v="2"/>
    <s v="Operations Expense - North"/>
    <n v="-8564.99"/>
    <m/>
  </r>
  <r>
    <x v="476"/>
    <n v="1"/>
    <n v="2026"/>
    <n v="1"/>
    <s v="G&amp;A"/>
    <x v="1"/>
    <x v="2"/>
    <s v="G&amp;A Revenue - North"/>
    <n v="6304.74"/>
    <n v="5952.4"/>
  </r>
  <r>
    <x v="476"/>
    <n v="1"/>
    <n v="2026"/>
    <n v="1"/>
    <s v="Subscriptions"/>
    <x v="0"/>
    <x v="3"/>
    <s v="Subscriptions Expense - South"/>
    <n v="-13134.53"/>
    <m/>
  </r>
  <r>
    <x v="477"/>
    <n v="1"/>
    <n v="2026"/>
    <n v="1"/>
    <s v="Operations"/>
    <x v="0"/>
    <x v="0"/>
    <s v="Operations Expense - East"/>
    <n v="-5664.55"/>
    <m/>
  </r>
  <r>
    <x v="478"/>
    <n v="1"/>
    <n v="2026"/>
    <n v="1"/>
    <s v="Operations"/>
    <x v="1"/>
    <x v="1"/>
    <s v="Operations Revenue - West"/>
    <n v="13683.99"/>
    <n v="13109.86"/>
  </r>
  <r>
    <x v="478"/>
    <n v="1"/>
    <n v="2026"/>
    <n v="1"/>
    <s v="HR"/>
    <x v="1"/>
    <x v="1"/>
    <s v="HR Revenue - West"/>
    <n v="4941.8599999999997"/>
    <n v="4652.71"/>
  </r>
  <r>
    <x v="478"/>
    <n v="1"/>
    <n v="2026"/>
    <n v="1"/>
    <s v="R&amp;D"/>
    <x v="0"/>
    <x v="2"/>
    <s v="R&amp;D Expense - North"/>
    <n v="-7921.47"/>
    <m/>
  </r>
  <r>
    <x v="478"/>
    <n v="1"/>
    <n v="2026"/>
    <n v="1"/>
    <s v="Subscriptions"/>
    <x v="1"/>
    <x v="3"/>
    <s v="Subscriptions Revenue - South"/>
    <n v="25952.71"/>
    <n v="24358.48"/>
  </r>
  <r>
    <x v="479"/>
    <n v="1"/>
    <n v="2026"/>
    <n v="1"/>
    <s v="G&amp;A"/>
    <x v="1"/>
    <x v="0"/>
    <s v="G&amp;A Revenue - East"/>
    <n v="6167.69"/>
    <n v="6725.62"/>
  </r>
  <r>
    <x v="479"/>
    <n v="1"/>
    <n v="2026"/>
    <n v="1"/>
    <s v="Subscriptions"/>
    <x v="1"/>
    <x v="1"/>
    <s v="Subscriptions Revenue - West"/>
    <n v="28200.799999999999"/>
    <n v="26914.81"/>
  </r>
  <r>
    <x v="479"/>
    <n v="1"/>
    <n v="2026"/>
    <n v="1"/>
    <s v="Marketing"/>
    <x v="1"/>
    <x v="1"/>
    <s v="Marketing Revenue - West"/>
    <n v="6895.22"/>
    <n v="6692.26"/>
  </r>
  <r>
    <x v="479"/>
    <n v="1"/>
    <n v="2026"/>
    <n v="1"/>
    <s v="G&amp;A"/>
    <x v="0"/>
    <x v="1"/>
    <s v="G&amp;A Expense - West"/>
    <n v="-6564.72"/>
    <m/>
  </r>
  <r>
    <x v="479"/>
    <n v="1"/>
    <n v="2026"/>
    <n v="1"/>
    <s v="Services"/>
    <x v="1"/>
    <x v="2"/>
    <s v="Services Revenue - North"/>
    <n v="18355.25"/>
    <n v="18469.13"/>
  </r>
  <r>
    <x v="480"/>
    <n v="1"/>
    <n v="2026"/>
    <n v="1"/>
    <s v="Services"/>
    <x v="1"/>
    <x v="0"/>
    <s v="Services Revenue - East"/>
    <n v="24837.87"/>
    <n v="25430.19"/>
  </r>
  <r>
    <x v="480"/>
    <n v="1"/>
    <n v="2026"/>
    <n v="1"/>
    <s v="R&amp;D"/>
    <x v="1"/>
    <x v="3"/>
    <s v="R&amp;D Revenue - South"/>
    <n v="12226.53"/>
    <n v="12812.7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52">
  <r>
    <x v="0"/>
    <n v="5"/>
    <n v="2024"/>
    <n v="2"/>
    <x v="0"/>
    <x v="0"/>
    <x v="0"/>
    <s v="Services Expense - East"/>
    <n v="-12854.25"/>
    <m/>
  </r>
  <r>
    <x v="0"/>
    <n v="5"/>
    <n v="2024"/>
    <n v="2"/>
    <x v="1"/>
    <x v="0"/>
    <x v="0"/>
    <s v="R&amp;D Expense - East"/>
    <n v="-14329.01"/>
    <m/>
  </r>
  <r>
    <x v="0"/>
    <n v="5"/>
    <n v="2024"/>
    <n v="2"/>
    <x v="2"/>
    <x v="0"/>
    <x v="1"/>
    <s v="G&amp;A Expense - West"/>
    <n v="-4196.22"/>
    <m/>
  </r>
  <r>
    <x v="0"/>
    <n v="5"/>
    <n v="2024"/>
    <n v="2"/>
    <x v="0"/>
    <x v="0"/>
    <x v="2"/>
    <s v="Services Expense - North"/>
    <n v="-6732.36"/>
    <m/>
  </r>
  <r>
    <x v="0"/>
    <n v="5"/>
    <n v="2024"/>
    <n v="2"/>
    <x v="3"/>
    <x v="1"/>
    <x v="2"/>
    <s v="Subscriptions Revenue - North"/>
    <n v="27921"/>
    <n v="28073.94"/>
  </r>
  <r>
    <x v="1"/>
    <n v="5"/>
    <n v="2024"/>
    <n v="2"/>
    <x v="4"/>
    <x v="0"/>
    <x v="0"/>
    <s v="Marketing Expense - East"/>
    <n v="-7679.85"/>
    <m/>
  </r>
  <r>
    <x v="2"/>
    <n v="5"/>
    <n v="2024"/>
    <n v="2"/>
    <x v="5"/>
    <x v="0"/>
    <x v="1"/>
    <s v="HR Expense - West"/>
    <n v="-7199.96"/>
    <m/>
  </r>
  <r>
    <x v="3"/>
    <n v="5"/>
    <n v="2024"/>
    <n v="2"/>
    <x v="6"/>
    <x v="1"/>
    <x v="0"/>
    <s v="Sales Revenue - East"/>
    <n v="36991.24"/>
    <n v="35330.93"/>
  </r>
  <r>
    <x v="3"/>
    <n v="5"/>
    <n v="2024"/>
    <n v="2"/>
    <x v="4"/>
    <x v="1"/>
    <x v="0"/>
    <s v="Marketing Revenue - East"/>
    <n v="10440.83"/>
    <n v="10461.370000000001"/>
  </r>
  <r>
    <x v="4"/>
    <n v="5"/>
    <n v="2024"/>
    <n v="2"/>
    <x v="3"/>
    <x v="0"/>
    <x v="0"/>
    <s v="Subscriptions Expense - East"/>
    <n v="-8708.9500000000007"/>
    <m/>
  </r>
  <r>
    <x v="4"/>
    <n v="5"/>
    <n v="2024"/>
    <n v="2"/>
    <x v="2"/>
    <x v="0"/>
    <x v="0"/>
    <s v="G&amp;A Expense - East"/>
    <n v="-10343.540000000001"/>
    <m/>
  </r>
  <r>
    <x v="4"/>
    <n v="5"/>
    <n v="2024"/>
    <n v="2"/>
    <x v="1"/>
    <x v="0"/>
    <x v="1"/>
    <s v="R&amp;D Expense - West"/>
    <n v="-9249.58"/>
    <m/>
  </r>
  <r>
    <x v="4"/>
    <n v="5"/>
    <n v="2024"/>
    <n v="2"/>
    <x v="7"/>
    <x v="1"/>
    <x v="2"/>
    <s v="Operations Revenue - North"/>
    <n v="15541.34"/>
    <n v="15422.05"/>
  </r>
  <r>
    <x v="5"/>
    <n v="5"/>
    <n v="2024"/>
    <n v="2"/>
    <x v="6"/>
    <x v="0"/>
    <x v="0"/>
    <s v="Sales Expense - East"/>
    <n v="-17713.099999999999"/>
    <m/>
  </r>
  <r>
    <x v="5"/>
    <n v="5"/>
    <n v="2024"/>
    <n v="2"/>
    <x v="3"/>
    <x v="1"/>
    <x v="1"/>
    <s v="Subscriptions Revenue - West"/>
    <n v="29394.720000000001"/>
    <n v="29492.66"/>
  </r>
  <r>
    <x v="5"/>
    <n v="5"/>
    <n v="2024"/>
    <n v="2"/>
    <x v="3"/>
    <x v="0"/>
    <x v="2"/>
    <s v="Subscriptions Expense - North"/>
    <n v="-32641.63"/>
    <m/>
  </r>
  <r>
    <x v="5"/>
    <n v="5"/>
    <n v="2024"/>
    <n v="2"/>
    <x v="2"/>
    <x v="0"/>
    <x v="2"/>
    <s v="G&amp;A Expense - North"/>
    <n v="-3045.96"/>
    <m/>
  </r>
  <r>
    <x v="5"/>
    <n v="5"/>
    <n v="2024"/>
    <n v="2"/>
    <x v="0"/>
    <x v="0"/>
    <x v="3"/>
    <s v="Services Expense - South"/>
    <n v="-13085.45"/>
    <m/>
  </r>
  <r>
    <x v="6"/>
    <n v="5"/>
    <n v="2024"/>
    <n v="2"/>
    <x v="7"/>
    <x v="0"/>
    <x v="1"/>
    <s v="Operations Expense - West"/>
    <n v="-7693.7"/>
    <m/>
  </r>
  <r>
    <x v="7"/>
    <n v="5"/>
    <n v="2024"/>
    <n v="2"/>
    <x v="6"/>
    <x v="0"/>
    <x v="1"/>
    <s v="Sales Expense - West"/>
    <n v="-22425.15"/>
    <m/>
  </r>
  <r>
    <x v="7"/>
    <n v="5"/>
    <n v="2024"/>
    <n v="2"/>
    <x v="5"/>
    <x v="1"/>
    <x v="3"/>
    <s v="HR Revenue - South"/>
    <n v="4173.7700000000004"/>
    <n v="4472.59"/>
  </r>
  <r>
    <x v="8"/>
    <n v="5"/>
    <n v="2024"/>
    <n v="2"/>
    <x v="0"/>
    <x v="0"/>
    <x v="1"/>
    <s v="Services Expense - West"/>
    <n v="-29620.82"/>
    <m/>
  </r>
  <r>
    <x v="9"/>
    <n v="5"/>
    <n v="2024"/>
    <n v="2"/>
    <x v="5"/>
    <x v="0"/>
    <x v="3"/>
    <s v="HR Expense - South"/>
    <n v="-2972.21"/>
    <m/>
  </r>
  <r>
    <x v="9"/>
    <n v="5"/>
    <n v="2024"/>
    <n v="2"/>
    <x v="1"/>
    <x v="0"/>
    <x v="3"/>
    <s v="R&amp;D Expense - South"/>
    <n v="-5175.1499999999996"/>
    <m/>
  </r>
  <r>
    <x v="9"/>
    <n v="5"/>
    <n v="2024"/>
    <n v="2"/>
    <x v="2"/>
    <x v="0"/>
    <x v="3"/>
    <s v="G&amp;A Expense - South"/>
    <n v="-8075.33"/>
    <m/>
  </r>
  <r>
    <x v="10"/>
    <n v="5"/>
    <n v="2024"/>
    <n v="2"/>
    <x v="7"/>
    <x v="0"/>
    <x v="0"/>
    <s v="Operations Expense - East"/>
    <n v="-25910.97"/>
    <m/>
  </r>
  <r>
    <x v="10"/>
    <n v="5"/>
    <n v="2024"/>
    <n v="2"/>
    <x v="2"/>
    <x v="1"/>
    <x v="0"/>
    <s v="G&amp;A Revenue - East"/>
    <n v="6782.94"/>
    <n v="6883.69"/>
  </r>
  <r>
    <x v="11"/>
    <n v="5"/>
    <n v="2024"/>
    <n v="2"/>
    <x v="4"/>
    <x v="0"/>
    <x v="1"/>
    <s v="Marketing Expense - West"/>
    <n v="-8410.4500000000007"/>
    <m/>
  </r>
  <r>
    <x v="11"/>
    <n v="5"/>
    <n v="2024"/>
    <n v="2"/>
    <x v="0"/>
    <x v="1"/>
    <x v="2"/>
    <s v="Services Revenue - North"/>
    <n v="19898.72"/>
    <n v="21341.13"/>
  </r>
  <r>
    <x v="11"/>
    <n v="5"/>
    <n v="2024"/>
    <n v="2"/>
    <x v="5"/>
    <x v="1"/>
    <x v="2"/>
    <s v="HR Revenue - North"/>
    <n v="3782.36"/>
    <n v="3716.05"/>
  </r>
  <r>
    <x v="11"/>
    <n v="5"/>
    <n v="2024"/>
    <n v="2"/>
    <x v="1"/>
    <x v="0"/>
    <x v="2"/>
    <s v="R&amp;D Expense - North"/>
    <n v="-17885.16"/>
    <m/>
  </r>
  <r>
    <x v="11"/>
    <n v="5"/>
    <n v="2024"/>
    <n v="2"/>
    <x v="7"/>
    <x v="1"/>
    <x v="3"/>
    <s v="Operations Revenue - South"/>
    <n v="11897.91"/>
    <n v="11757.67"/>
  </r>
  <r>
    <x v="12"/>
    <n v="5"/>
    <n v="2024"/>
    <n v="2"/>
    <x v="5"/>
    <x v="1"/>
    <x v="0"/>
    <s v="HR Revenue - East"/>
    <n v="4654.96"/>
    <n v="4455.96"/>
  </r>
  <r>
    <x v="12"/>
    <n v="5"/>
    <n v="2024"/>
    <n v="2"/>
    <x v="5"/>
    <x v="0"/>
    <x v="0"/>
    <s v="HR Expense - East"/>
    <n v="-2787.57"/>
    <m/>
  </r>
  <r>
    <x v="12"/>
    <n v="5"/>
    <n v="2024"/>
    <n v="2"/>
    <x v="5"/>
    <x v="1"/>
    <x v="1"/>
    <s v="HR Revenue - West"/>
    <n v="4846.68"/>
    <n v="4707.41"/>
  </r>
  <r>
    <x v="12"/>
    <n v="5"/>
    <n v="2024"/>
    <n v="2"/>
    <x v="4"/>
    <x v="1"/>
    <x v="3"/>
    <s v="Marketing Revenue - South"/>
    <n v="6274.04"/>
    <n v="6847.21"/>
  </r>
  <r>
    <x v="13"/>
    <n v="5"/>
    <n v="2024"/>
    <n v="2"/>
    <x v="3"/>
    <x v="0"/>
    <x v="1"/>
    <s v="Subscriptions Expense - West"/>
    <n v="-15700.98"/>
    <m/>
  </r>
  <r>
    <x v="13"/>
    <n v="5"/>
    <n v="2024"/>
    <n v="2"/>
    <x v="2"/>
    <x v="1"/>
    <x v="1"/>
    <s v="G&amp;A Revenue - West"/>
    <n v="7401.97"/>
    <n v="7516.12"/>
  </r>
  <r>
    <x v="14"/>
    <n v="5"/>
    <n v="2024"/>
    <n v="2"/>
    <x v="7"/>
    <x v="1"/>
    <x v="1"/>
    <s v="Operations Revenue - West"/>
    <n v="15933.37"/>
    <n v="16454.009999999998"/>
  </r>
  <r>
    <x v="14"/>
    <n v="5"/>
    <n v="2024"/>
    <n v="2"/>
    <x v="4"/>
    <x v="0"/>
    <x v="2"/>
    <s v="Marketing Expense - North"/>
    <n v="-11068.98"/>
    <m/>
  </r>
  <r>
    <x v="14"/>
    <n v="5"/>
    <n v="2024"/>
    <n v="2"/>
    <x v="1"/>
    <x v="1"/>
    <x v="3"/>
    <s v="R&amp;D Revenue - South"/>
    <n v="10488.19"/>
    <n v="10357.379999999999"/>
  </r>
  <r>
    <x v="15"/>
    <n v="5"/>
    <n v="2024"/>
    <n v="2"/>
    <x v="0"/>
    <x v="1"/>
    <x v="1"/>
    <s v="Services Revenue - West"/>
    <n v="22321.16"/>
    <n v="22923.79"/>
  </r>
  <r>
    <x v="15"/>
    <n v="5"/>
    <n v="2024"/>
    <n v="2"/>
    <x v="7"/>
    <x v="0"/>
    <x v="3"/>
    <s v="Operations Expense - South"/>
    <n v="-13974.67"/>
    <m/>
  </r>
  <r>
    <x v="16"/>
    <n v="5"/>
    <n v="2024"/>
    <n v="2"/>
    <x v="2"/>
    <x v="1"/>
    <x v="3"/>
    <s v="G&amp;A Revenue - South"/>
    <n v="6561.09"/>
    <n v="7006.47"/>
  </r>
  <r>
    <x v="17"/>
    <n v="5"/>
    <n v="2024"/>
    <n v="2"/>
    <x v="1"/>
    <x v="1"/>
    <x v="0"/>
    <s v="R&amp;D Revenue - East"/>
    <n v="13034.86"/>
    <n v="12850.57"/>
  </r>
  <r>
    <x v="17"/>
    <n v="5"/>
    <n v="2024"/>
    <n v="2"/>
    <x v="6"/>
    <x v="1"/>
    <x v="1"/>
    <s v="Sales Revenue - West"/>
    <n v="35710.94"/>
    <n v="36242.589999999997"/>
  </r>
  <r>
    <x v="18"/>
    <n v="5"/>
    <n v="2024"/>
    <n v="2"/>
    <x v="7"/>
    <x v="1"/>
    <x v="0"/>
    <s v="Operations Revenue - East"/>
    <n v="19696.3"/>
    <n v="21232.59"/>
  </r>
  <r>
    <x v="18"/>
    <n v="5"/>
    <n v="2024"/>
    <n v="2"/>
    <x v="6"/>
    <x v="0"/>
    <x v="2"/>
    <s v="Sales Expense - North"/>
    <n v="-15058.45"/>
    <m/>
  </r>
  <r>
    <x v="18"/>
    <n v="5"/>
    <n v="2024"/>
    <n v="2"/>
    <x v="4"/>
    <x v="1"/>
    <x v="2"/>
    <s v="Marketing Revenue - North"/>
    <n v="9383.42"/>
    <n v="10092.34"/>
  </r>
  <r>
    <x v="18"/>
    <n v="5"/>
    <n v="2024"/>
    <n v="2"/>
    <x v="3"/>
    <x v="0"/>
    <x v="3"/>
    <s v="Subscriptions Expense - South"/>
    <n v="-19714.32"/>
    <m/>
  </r>
  <r>
    <x v="19"/>
    <n v="5"/>
    <n v="2024"/>
    <n v="2"/>
    <x v="3"/>
    <x v="1"/>
    <x v="0"/>
    <s v="Subscriptions Revenue - East"/>
    <n v="22080.07"/>
    <n v="21445.29"/>
  </r>
  <r>
    <x v="19"/>
    <n v="5"/>
    <n v="2024"/>
    <n v="2"/>
    <x v="1"/>
    <x v="1"/>
    <x v="1"/>
    <s v="R&amp;D Revenue - West"/>
    <n v="13942.16"/>
    <n v="13461.9"/>
  </r>
  <r>
    <x v="19"/>
    <n v="5"/>
    <n v="2024"/>
    <n v="2"/>
    <x v="3"/>
    <x v="1"/>
    <x v="3"/>
    <s v="Subscriptions Revenue - South"/>
    <n v="20352.36"/>
    <n v="21009.89"/>
  </r>
  <r>
    <x v="20"/>
    <n v="5"/>
    <n v="2024"/>
    <n v="2"/>
    <x v="6"/>
    <x v="0"/>
    <x v="3"/>
    <s v="Sales Expense - South"/>
    <n v="-19711.689999999999"/>
    <m/>
  </r>
  <r>
    <x v="21"/>
    <n v="5"/>
    <n v="2024"/>
    <n v="2"/>
    <x v="0"/>
    <x v="1"/>
    <x v="0"/>
    <s v="Services Revenue - East"/>
    <n v="24603.5"/>
    <n v="23616.09"/>
  </r>
  <r>
    <x v="21"/>
    <n v="5"/>
    <n v="2024"/>
    <n v="2"/>
    <x v="4"/>
    <x v="1"/>
    <x v="1"/>
    <s v="Marketing Revenue - West"/>
    <n v="6917.68"/>
    <n v="7230.78"/>
  </r>
  <r>
    <x v="21"/>
    <n v="5"/>
    <n v="2024"/>
    <n v="2"/>
    <x v="6"/>
    <x v="1"/>
    <x v="2"/>
    <s v="Sales Revenue - North"/>
    <n v="23384.240000000002"/>
    <n v="22848.880000000001"/>
  </r>
  <r>
    <x v="21"/>
    <n v="5"/>
    <n v="2024"/>
    <n v="2"/>
    <x v="7"/>
    <x v="0"/>
    <x v="2"/>
    <s v="Operations Expense - North"/>
    <n v="-9575.2999999999993"/>
    <m/>
  </r>
  <r>
    <x v="21"/>
    <n v="5"/>
    <n v="2024"/>
    <n v="2"/>
    <x v="0"/>
    <x v="1"/>
    <x v="3"/>
    <s v="Services Revenue - South"/>
    <n v="22893.94"/>
    <n v="23625.11"/>
  </r>
  <r>
    <x v="21"/>
    <n v="5"/>
    <n v="2024"/>
    <n v="2"/>
    <x v="4"/>
    <x v="0"/>
    <x v="3"/>
    <s v="Marketing Expense - South"/>
    <n v="-2644.5"/>
    <m/>
  </r>
  <r>
    <x v="22"/>
    <n v="5"/>
    <n v="2024"/>
    <n v="2"/>
    <x v="6"/>
    <x v="1"/>
    <x v="3"/>
    <s v="Sales Revenue - South"/>
    <n v="24889.77"/>
    <n v="24368.77"/>
  </r>
  <r>
    <x v="23"/>
    <n v="5"/>
    <n v="2024"/>
    <n v="2"/>
    <x v="5"/>
    <x v="0"/>
    <x v="2"/>
    <s v="HR Expense - North"/>
    <n v="-5807.2"/>
    <m/>
  </r>
  <r>
    <x v="23"/>
    <n v="5"/>
    <n v="2024"/>
    <n v="2"/>
    <x v="1"/>
    <x v="1"/>
    <x v="2"/>
    <s v="R&amp;D Revenue - North"/>
    <n v="10199.629999999999"/>
    <n v="10339.85"/>
  </r>
  <r>
    <x v="23"/>
    <n v="5"/>
    <n v="2024"/>
    <n v="2"/>
    <x v="2"/>
    <x v="1"/>
    <x v="2"/>
    <s v="G&amp;A Revenue - North"/>
    <n v="4970.1099999999997"/>
    <n v="5307.35"/>
  </r>
  <r>
    <x v="24"/>
    <n v="6"/>
    <n v="2024"/>
    <n v="2"/>
    <x v="4"/>
    <x v="0"/>
    <x v="0"/>
    <s v="Marketing Expense - East"/>
    <n v="-7938.84"/>
    <m/>
  </r>
  <r>
    <x v="24"/>
    <n v="6"/>
    <n v="2024"/>
    <n v="2"/>
    <x v="7"/>
    <x v="0"/>
    <x v="0"/>
    <s v="Operations Expense - East"/>
    <n v="-16729.099999999999"/>
    <m/>
  </r>
  <r>
    <x v="24"/>
    <n v="6"/>
    <n v="2024"/>
    <n v="2"/>
    <x v="7"/>
    <x v="0"/>
    <x v="2"/>
    <s v="Operations Expense - North"/>
    <n v="-11008.19"/>
    <m/>
  </r>
  <r>
    <x v="24"/>
    <n v="6"/>
    <n v="2024"/>
    <n v="2"/>
    <x v="1"/>
    <x v="1"/>
    <x v="3"/>
    <s v="R&amp;D Revenue - South"/>
    <n v="11441.79"/>
    <n v="11443.68"/>
  </r>
  <r>
    <x v="25"/>
    <n v="6"/>
    <n v="2024"/>
    <n v="2"/>
    <x v="6"/>
    <x v="1"/>
    <x v="0"/>
    <s v="Sales Revenue - East"/>
    <n v="36992.11"/>
    <n v="36287.39"/>
  </r>
  <r>
    <x v="26"/>
    <n v="6"/>
    <n v="2024"/>
    <n v="2"/>
    <x v="3"/>
    <x v="0"/>
    <x v="1"/>
    <s v="Subscriptions Expense - West"/>
    <n v="-16943.63"/>
    <m/>
  </r>
  <r>
    <x v="26"/>
    <n v="6"/>
    <n v="2024"/>
    <n v="2"/>
    <x v="0"/>
    <x v="0"/>
    <x v="2"/>
    <s v="Services Expense - North"/>
    <n v="-9369.98"/>
    <m/>
  </r>
  <r>
    <x v="26"/>
    <n v="6"/>
    <n v="2024"/>
    <n v="2"/>
    <x v="2"/>
    <x v="1"/>
    <x v="2"/>
    <s v="G&amp;A Revenue - North"/>
    <n v="6020.58"/>
    <n v="5953.44"/>
  </r>
  <r>
    <x v="27"/>
    <n v="6"/>
    <n v="2024"/>
    <n v="2"/>
    <x v="4"/>
    <x v="1"/>
    <x v="3"/>
    <s v="Marketing Revenue - South"/>
    <n v="6678.18"/>
    <n v="6853.31"/>
  </r>
  <r>
    <x v="28"/>
    <n v="6"/>
    <n v="2024"/>
    <n v="2"/>
    <x v="5"/>
    <x v="1"/>
    <x v="1"/>
    <s v="HR Revenue - West"/>
    <n v="5900.03"/>
    <n v="6445.91"/>
  </r>
  <r>
    <x v="29"/>
    <n v="6"/>
    <n v="2024"/>
    <n v="2"/>
    <x v="0"/>
    <x v="0"/>
    <x v="1"/>
    <s v="Services Expense - West"/>
    <n v="-13953.07"/>
    <m/>
  </r>
  <r>
    <x v="29"/>
    <n v="6"/>
    <n v="2024"/>
    <n v="2"/>
    <x v="2"/>
    <x v="1"/>
    <x v="3"/>
    <s v="G&amp;A Revenue - South"/>
    <n v="5481.38"/>
    <n v="5831.12"/>
  </r>
  <r>
    <x v="29"/>
    <n v="6"/>
    <n v="2024"/>
    <n v="2"/>
    <x v="2"/>
    <x v="0"/>
    <x v="3"/>
    <s v="G&amp;A Expense - South"/>
    <n v="-6561.66"/>
    <m/>
  </r>
  <r>
    <x v="30"/>
    <n v="6"/>
    <n v="2024"/>
    <n v="2"/>
    <x v="3"/>
    <x v="0"/>
    <x v="0"/>
    <s v="Subscriptions Expense - East"/>
    <n v="-45806.98"/>
    <m/>
  </r>
  <r>
    <x v="30"/>
    <n v="6"/>
    <n v="2024"/>
    <n v="2"/>
    <x v="1"/>
    <x v="0"/>
    <x v="0"/>
    <s v="R&amp;D Expense - East"/>
    <n v="-11992"/>
    <m/>
  </r>
  <r>
    <x v="30"/>
    <n v="6"/>
    <n v="2024"/>
    <n v="2"/>
    <x v="0"/>
    <x v="1"/>
    <x v="1"/>
    <s v="Services Revenue - West"/>
    <n v="21654.080000000002"/>
    <n v="22193.14"/>
  </r>
  <r>
    <x v="30"/>
    <n v="6"/>
    <n v="2024"/>
    <n v="2"/>
    <x v="3"/>
    <x v="0"/>
    <x v="2"/>
    <s v="Subscriptions Expense - North"/>
    <n v="-12846.9"/>
    <m/>
  </r>
  <r>
    <x v="31"/>
    <n v="6"/>
    <n v="2024"/>
    <n v="2"/>
    <x v="7"/>
    <x v="1"/>
    <x v="1"/>
    <s v="Operations Revenue - West"/>
    <n v="15924.83"/>
    <n v="16256.47"/>
  </r>
  <r>
    <x v="31"/>
    <n v="6"/>
    <n v="2024"/>
    <n v="2"/>
    <x v="4"/>
    <x v="1"/>
    <x v="2"/>
    <s v="Marketing Revenue - North"/>
    <n v="9288.23"/>
    <n v="9636.59"/>
  </r>
  <r>
    <x v="31"/>
    <n v="6"/>
    <n v="2024"/>
    <n v="2"/>
    <x v="0"/>
    <x v="1"/>
    <x v="3"/>
    <s v="Services Revenue - South"/>
    <n v="20634.59"/>
    <n v="21686.880000000001"/>
  </r>
  <r>
    <x v="32"/>
    <n v="6"/>
    <n v="2024"/>
    <n v="2"/>
    <x v="7"/>
    <x v="0"/>
    <x v="1"/>
    <s v="Operations Expense - West"/>
    <n v="-8298.3700000000008"/>
    <m/>
  </r>
  <r>
    <x v="32"/>
    <n v="6"/>
    <n v="2024"/>
    <n v="2"/>
    <x v="1"/>
    <x v="0"/>
    <x v="2"/>
    <s v="R&amp;D Expense - North"/>
    <n v="-6403.95"/>
    <m/>
  </r>
  <r>
    <x v="33"/>
    <n v="6"/>
    <n v="2024"/>
    <n v="2"/>
    <x v="0"/>
    <x v="1"/>
    <x v="0"/>
    <s v="Services Revenue - East"/>
    <n v="27584.2"/>
    <n v="29443.279999999999"/>
  </r>
  <r>
    <x v="33"/>
    <n v="6"/>
    <n v="2024"/>
    <n v="2"/>
    <x v="5"/>
    <x v="0"/>
    <x v="2"/>
    <s v="HR Expense - North"/>
    <n v="-6077.81"/>
    <m/>
  </r>
  <r>
    <x v="34"/>
    <n v="6"/>
    <n v="2024"/>
    <n v="2"/>
    <x v="0"/>
    <x v="0"/>
    <x v="3"/>
    <s v="Services Expense - South"/>
    <n v="-7837.01"/>
    <m/>
  </r>
  <r>
    <x v="35"/>
    <n v="6"/>
    <n v="2024"/>
    <n v="2"/>
    <x v="2"/>
    <x v="0"/>
    <x v="1"/>
    <s v="G&amp;A Expense - West"/>
    <n v="-4641.7"/>
    <m/>
  </r>
  <r>
    <x v="35"/>
    <n v="6"/>
    <n v="2024"/>
    <n v="2"/>
    <x v="6"/>
    <x v="0"/>
    <x v="2"/>
    <s v="Sales Expense - North"/>
    <n v="-39827.22"/>
    <m/>
  </r>
  <r>
    <x v="36"/>
    <n v="6"/>
    <n v="2024"/>
    <n v="2"/>
    <x v="6"/>
    <x v="1"/>
    <x v="3"/>
    <s v="Sales Revenue - South"/>
    <n v="25096.49"/>
    <n v="23840.61"/>
  </r>
  <r>
    <x v="37"/>
    <n v="6"/>
    <n v="2024"/>
    <n v="2"/>
    <x v="6"/>
    <x v="1"/>
    <x v="2"/>
    <s v="Sales Revenue - North"/>
    <n v="32065.18"/>
    <n v="31043.02"/>
  </r>
  <r>
    <x v="37"/>
    <n v="6"/>
    <n v="2024"/>
    <n v="2"/>
    <x v="5"/>
    <x v="1"/>
    <x v="2"/>
    <s v="HR Revenue - North"/>
    <n v="4265.04"/>
    <n v="4117.79"/>
  </r>
  <r>
    <x v="37"/>
    <n v="6"/>
    <n v="2024"/>
    <n v="2"/>
    <x v="1"/>
    <x v="0"/>
    <x v="3"/>
    <s v="R&amp;D Expense - South"/>
    <n v="-8786.93"/>
    <m/>
  </r>
  <r>
    <x v="38"/>
    <n v="6"/>
    <n v="2024"/>
    <n v="2"/>
    <x v="1"/>
    <x v="0"/>
    <x v="1"/>
    <s v="R&amp;D Expense - West"/>
    <n v="-9908.2000000000007"/>
    <m/>
  </r>
  <r>
    <x v="39"/>
    <n v="6"/>
    <n v="2024"/>
    <n v="2"/>
    <x v="2"/>
    <x v="0"/>
    <x v="0"/>
    <s v="G&amp;A Expense - East"/>
    <n v="-3041.13"/>
    <m/>
  </r>
  <r>
    <x v="39"/>
    <n v="6"/>
    <n v="2024"/>
    <n v="2"/>
    <x v="6"/>
    <x v="0"/>
    <x v="1"/>
    <s v="Sales Expense - West"/>
    <n v="-48523.33"/>
    <m/>
  </r>
  <r>
    <x v="39"/>
    <n v="6"/>
    <n v="2024"/>
    <n v="2"/>
    <x v="4"/>
    <x v="0"/>
    <x v="2"/>
    <s v="Marketing Expense - North"/>
    <n v="-4420.68"/>
    <m/>
  </r>
  <r>
    <x v="39"/>
    <n v="6"/>
    <n v="2024"/>
    <n v="2"/>
    <x v="7"/>
    <x v="1"/>
    <x v="2"/>
    <s v="Operations Revenue - North"/>
    <n v="19027.830000000002"/>
    <n v="20883.7"/>
  </r>
  <r>
    <x v="39"/>
    <n v="6"/>
    <n v="2024"/>
    <n v="2"/>
    <x v="5"/>
    <x v="0"/>
    <x v="3"/>
    <s v="HR Expense - South"/>
    <n v="-5645.47"/>
    <m/>
  </r>
  <r>
    <x v="40"/>
    <n v="6"/>
    <n v="2024"/>
    <n v="2"/>
    <x v="2"/>
    <x v="1"/>
    <x v="0"/>
    <s v="G&amp;A Revenue - East"/>
    <n v="7265.57"/>
    <n v="6807.12"/>
  </r>
  <r>
    <x v="40"/>
    <n v="6"/>
    <n v="2024"/>
    <n v="2"/>
    <x v="1"/>
    <x v="1"/>
    <x v="1"/>
    <s v="R&amp;D Revenue - West"/>
    <n v="12333.25"/>
    <n v="12445.21"/>
  </r>
  <r>
    <x v="41"/>
    <n v="6"/>
    <n v="2024"/>
    <n v="2"/>
    <x v="3"/>
    <x v="1"/>
    <x v="3"/>
    <s v="Subscriptions Revenue - South"/>
    <n v="21436.93"/>
    <n v="20785.439999999999"/>
  </r>
  <r>
    <x v="42"/>
    <n v="6"/>
    <n v="2024"/>
    <n v="2"/>
    <x v="7"/>
    <x v="1"/>
    <x v="0"/>
    <s v="Operations Revenue - East"/>
    <n v="14858.51"/>
    <n v="15017.9"/>
  </r>
  <r>
    <x v="42"/>
    <n v="6"/>
    <n v="2024"/>
    <n v="2"/>
    <x v="4"/>
    <x v="1"/>
    <x v="1"/>
    <s v="Marketing Revenue - West"/>
    <n v="8825.31"/>
    <n v="9341.91"/>
  </r>
  <r>
    <x v="42"/>
    <n v="6"/>
    <n v="2024"/>
    <n v="2"/>
    <x v="1"/>
    <x v="1"/>
    <x v="2"/>
    <s v="R&amp;D Revenue - North"/>
    <n v="9652.48"/>
    <n v="9184.82"/>
  </r>
  <r>
    <x v="43"/>
    <n v="6"/>
    <n v="2024"/>
    <n v="2"/>
    <x v="5"/>
    <x v="0"/>
    <x v="1"/>
    <s v="HR Expense - West"/>
    <n v="-3308.14"/>
    <m/>
  </r>
  <r>
    <x v="43"/>
    <n v="6"/>
    <n v="2024"/>
    <n v="2"/>
    <x v="3"/>
    <x v="1"/>
    <x v="2"/>
    <s v="Subscriptions Revenue - North"/>
    <n v="21038.04"/>
    <n v="22905.85"/>
  </r>
  <r>
    <x v="43"/>
    <n v="6"/>
    <n v="2024"/>
    <n v="2"/>
    <x v="3"/>
    <x v="0"/>
    <x v="3"/>
    <s v="Subscriptions Expense - South"/>
    <n v="-9450.4599999999991"/>
    <m/>
  </r>
  <r>
    <x v="44"/>
    <n v="6"/>
    <n v="2024"/>
    <n v="2"/>
    <x v="3"/>
    <x v="1"/>
    <x v="0"/>
    <s v="Subscriptions Revenue - East"/>
    <n v="30475.27"/>
    <n v="29061.78"/>
  </r>
  <r>
    <x v="44"/>
    <n v="6"/>
    <n v="2024"/>
    <n v="2"/>
    <x v="4"/>
    <x v="1"/>
    <x v="0"/>
    <s v="Marketing Revenue - East"/>
    <n v="10236.4"/>
    <n v="10766.73"/>
  </r>
  <r>
    <x v="44"/>
    <n v="6"/>
    <n v="2024"/>
    <n v="2"/>
    <x v="4"/>
    <x v="0"/>
    <x v="3"/>
    <s v="Marketing Expense - South"/>
    <n v="-9106.0400000000009"/>
    <m/>
  </r>
  <r>
    <x v="45"/>
    <n v="6"/>
    <n v="2024"/>
    <n v="2"/>
    <x v="4"/>
    <x v="0"/>
    <x v="1"/>
    <s v="Marketing Expense - West"/>
    <n v="-3550.01"/>
    <m/>
  </r>
  <r>
    <x v="45"/>
    <n v="6"/>
    <n v="2024"/>
    <n v="2"/>
    <x v="2"/>
    <x v="1"/>
    <x v="1"/>
    <s v="G&amp;A Revenue - West"/>
    <n v="7282.65"/>
    <n v="6953.88"/>
  </r>
  <r>
    <x v="45"/>
    <n v="6"/>
    <n v="2024"/>
    <n v="2"/>
    <x v="0"/>
    <x v="1"/>
    <x v="2"/>
    <s v="Services Revenue - North"/>
    <n v="21949.74"/>
    <n v="23223.69"/>
  </r>
  <r>
    <x v="46"/>
    <n v="6"/>
    <n v="2024"/>
    <n v="2"/>
    <x v="5"/>
    <x v="0"/>
    <x v="0"/>
    <s v="HR Expense - East"/>
    <n v="-3983.04"/>
    <m/>
  </r>
  <r>
    <x v="46"/>
    <n v="6"/>
    <n v="2024"/>
    <n v="2"/>
    <x v="7"/>
    <x v="0"/>
    <x v="3"/>
    <s v="Operations Expense - South"/>
    <n v="-11001.2"/>
    <m/>
  </r>
  <r>
    <x v="47"/>
    <n v="6"/>
    <n v="2024"/>
    <n v="2"/>
    <x v="0"/>
    <x v="0"/>
    <x v="0"/>
    <s v="Services Expense - East"/>
    <n v="-39598.980000000003"/>
    <m/>
  </r>
  <r>
    <x v="47"/>
    <n v="6"/>
    <n v="2024"/>
    <n v="2"/>
    <x v="5"/>
    <x v="1"/>
    <x v="0"/>
    <s v="HR Revenue - East"/>
    <n v="6109.31"/>
    <n v="6330.34"/>
  </r>
  <r>
    <x v="47"/>
    <n v="6"/>
    <n v="2024"/>
    <n v="2"/>
    <x v="3"/>
    <x v="1"/>
    <x v="1"/>
    <s v="Subscriptions Revenue - West"/>
    <n v="29141.1"/>
    <n v="28677.96"/>
  </r>
  <r>
    <x v="47"/>
    <n v="6"/>
    <n v="2024"/>
    <n v="2"/>
    <x v="5"/>
    <x v="1"/>
    <x v="3"/>
    <s v="HR Revenue - South"/>
    <n v="3944.1"/>
    <n v="4073.84"/>
  </r>
  <r>
    <x v="48"/>
    <n v="6"/>
    <n v="2024"/>
    <n v="2"/>
    <x v="7"/>
    <x v="1"/>
    <x v="3"/>
    <s v="Operations Revenue - South"/>
    <n v="16055.31"/>
    <n v="16100.13"/>
  </r>
  <r>
    <x v="49"/>
    <n v="6"/>
    <n v="2024"/>
    <n v="2"/>
    <x v="6"/>
    <x v="0"/>
    <x v="0"/>
    <s v="Sales Expense - East"/>
    <n v="-28774.13"/>
    <m/>
  </r>
  <r>
    <x v="49"/>
    <n v="6"/>
    <n v="2024"/>
    <n v="2"/>
    <x v="1"/>
    <x v="1"/>
    <x v="0"/>
    <s v="R&amp;D Revenue - East"/>
    <n v="10984"/>
    <n v="11120.88"/>
  </r>
  <r>
    <x v="49"/>
    <n v="6"/>
    <n v="2024"/>
    <n v="2"/>
    <x v="2"/>
    <x v="0"/>
    <x v="2"/>
    <s v="G&amp;A Expense - North"/>
    <n v="-8803.5"/>
    <m/>
  </r>
  <r>
    <x v="50"/>
    <n v="6"/>
    <n v="2024"/>
    <n v="2"/>
    <x v="6"/>
    <x v="1"/>
    <x v="1"/>
    <s v="Sales Revenue - West"/>
    <n v="34004.370000000003"/>
    <n v="33564.959999999999"/>
  </r>
  <r>
    <x v="50"/>
    <n v="6"/>
    <n v="2024"/>
    <n v="2"/>
    <x v="6"/>
    <x v="0"/>
    <x v="3"/>
    <s v="Sales Expense - South"/>
    <n v="-19456.86"/>
    <m/>
  </r>
  <r>
    <x v="51"/>
    <n v="7"/>
    <n v="2024"/>
    <n v="3"/>
    <x v="7"/>
    <x v="1"/>
    <x v="1"/>
    <s v="Operations Revenue - West"/>
    <n v="14176.29"/>
    <n v="13192.24"/>
  </r>
  <r>
    <x v="52"/>
    <n v="7"/>
    <n v="2024"/>
    <n v="3"/>
    <x v="4"/>
    <x v="0"/>
    <x v="3"/>
    <s v="Marketing Expense - South"/>
    <n v="-7345.58"/>
    <m/>
  </r>
  <r>
    <x v="53"/>
    <n v="7"/>
    <n v="2024"/>
    <n v="3"/>
    <x v="0"/>
    <x v="1"/>
    <x v="0"/>
    <s v="Services Revenue - East"/>
    <n v="23378.1"/>
    <n v="22379.03"/>
  </r>
  <r>
    <x v="53"/>
    <n v="7"/>
    <n v="2024"/>
    <n v="3"/>
    <x v="3"/>
    <x v="0"/>
    <x v="2"/>
    <s v="Subscriptions Expense - North"/>
    <n v="-14673.89"/>
    <m/>
  </r>
  <r>
    <x v="54"/>
    <n v="7"/>
    <n v="2024"/>
    <n v="3"/>
    <x v="3"/>
    <x v="0"/>
    <x v="1"/>
    <s v="Subscriptions Expense - West"/>
    <n v="-14053.68"/>
    <m/>
  </r>
  <r>
    <x v="54"/>
    <n v="7"/>
    <n v="2024"/>
    <n v="3"/>
    <x v="7"/>
    <x v="0"/>
    <x v="1"/>
    <s v="Operations Expense - West"/>
    <n v="-16079.65"/>
    <m/>
  </r>
  <r>
    <x v="54"/>
    <n v="7"/>
    <n v="2024"/>
    <n v="3"/>
    <x v="1"/>
    <x v="0"/>
    <x v="2"/>
    <s v="R&amp;D Expense - North"/>
    <n v="-8733.25"/>
    <m/>
  </r>
  <r>
    <x v="55"/>
    <n v="7"/>
    <n v="2024"/>
    <n v="3"/>
    <x v="1"/>
    <x v="1"/>
    <x v="1"/>
    <s v="R&amp;D Revenue - West"/>
    <n v="11718.61"/>
    <n v="11815.67"/>
  </r>
  <r>
    <x v="55"/>
    <n v="7"/>
    <n v="2024"/>
    <n v="3"/>
    <x v="2"/>
    <x v="1"/>
    <x v="2"/>
    <s v="G&amp;A Revenue - North"/>
    <n v="6804.88"/>
    <n v="6748.82"/>
  </r>
  <r>
    <x v="56"/>
    <n v="7"/>
    <n v="2024"/>
    <n v="3"/>
    <x v="0"/>
    <x v="1"/>
    <x v="1"/>
    <s v="Services Revenue - West"/>
    <n v="18540.16"/>
    <n v="18310.3"/>
  </r>
  <r>
    <x v="56"/>
    <n v="7"/>
    <n v="2024"/>
    <n v="3"/>
    <x v="2"/>
    <x v="0"/>
    <x v="2"/>
    <s v="G&amp;A Expense - North"/>
    <n v="-9176.64"/>
    <m/>
  </r>
  <r>
    <x v="56"/>
    <n v="7"/>
    <n v="2024"/>
    <n v="3"/>
    <x v="6"/>
    <x v="1"/>
    <x v="3"/>
    <s v="Sales Revenue - South"/>
    <n v="24128.94"/>
    <n v="25176.52"/>
  </r>
  <r>
    <x v="57"/>
    <n v="7"/>
    <n v="2024"/>
    <n v="3"/>
    <x v="7"/>
    <x v="0"/>
    <x v="0"/>
    <s v="Operations Expense - East"/>
    <n v="-16118.99"/>
    <m/>
  </r>
  <r>
    <x v="57"/>
    <n v="7"/>
    <n v="2024"/>
    <n v="3"/>
    <x v="1"/>
    <x v="1"/>
    <x v="3"/>
    <s v="R&amp;D Revenue - South"/>
    <n v="11989.19"/>
    <n v="11313.81"/>
  </r>
  <r>
    <x v="58"/>
    <n v="7"/>
    <n v="2024"/>
    <n v="3"/>
    <x v="7"/>
    <x v="1"/>
    <x v="0"/>
    <s v="Operations Revenue - East"/>
    <n v="20182.3"/>
    <n v="19539.27"/>
  </r>
  <r>
    <x v="58"/>
    <n v="7"/>
    <n v="2024"/>
    <n v="3"/>
    <x v="6"/>
    <x v="1"/>
    <x v="1"/>
    <s v="Sales Revenue - West"/>
    <n v="24010.2"/>
    <n v="25151.13"/>
  </r>
  <r>
    <x v="58"/>
    <n v="7"/>
    <n v="2024"/>
    <n v="3"/>
    <x v="3"/>
    <x v="1"/>
    <x v="1"/>
    <s v="Subscriptions Revenue - West"/>
    <n v="26406.43"/>
    <n v="28292.77"/>
  </r>
  <r>
    <x v="59"/>
    <n v="7"/>
    <n v="2024"/>
    <n v="3"/>
    <x v="6"/>
    <x v="0"/>
    <x v="0"/>
    <s v="Sales Expense - East"/>
    <n v="-9330.32"/>
    <m/>
  </r>
  <r>
    <x v="59"/>
    <n v="7"/>
    <n v="2024"/>
    <n v="3"/>
    <x v="3"/>
    <x v="0"/>
    <x v="0"/>
    <s v="Subscriptions Expense - East"/>
    <n v="-31989.41"/>
    <m/>
  </r>
  <r>
    <x v="59"/>
    <n v="7"/>
    <n v="2024"/>
    <n v="3"/>
    <x v="4"/>
    <x v="1"/>
    <x v="0"/>
    <s v="Marketing Revenue - East"/>
    <n v="10656.95"/>
    <n v="10230.799999999999"/>
  </r>
  <r>
    <x v="59"/>
    <n v="7"/>
    <n v="2024"/>
    <n v="3"/>
    <x v="7"/>
    <x v="0"/>
    <x v="3"/>
    <s v="Operations Expense - South"/>
    <n v="-9598.07"/>
    <m/>
  </r>
  <r>
    <x v="60"/>
    <n v="7"/>
    <n v="2024"/>
    <n v="3"/>
    <x v="4"/>
    <x v="0"/>
    <x v="1"/>
    <s v="Marketing Expense - West"/>
    <n v="-3471.16"/>
    <m/>
  </r>
  <r>
    <x v="60"/>
    <n v="7"/>
    <n v="2024"/>
    <n v="3"/>
    <x v="3"/>
    <x v="1"/>
    <x v="2"/>
    <s v="Subscriptions Revenue - North"/>
    <n v="25352.92"/>
    <n v="27199.45"/>
  </r>
  <r>
    <x v="61"/>
    <n v="7"/>
    <n v="2024"/>
    <n v="3"/>
    <x v="3"/>
    <x v="1"/>
    <x v="0"/>
    <s v="Subscriptions Revenue - East"/>
    <n v="25057.51"/>
    <n v="27286.13"/>
  </r>
  <r>
    <x v="61"/>
    <n v="7"/>
    <n v="2024"/>
    <n v="3"/>
    <x v="5"/>
    <x v="1"/>
    <x v="1"/>
    <s v="HR Revenue - West"/>
    <n v="5158.17"/>
    <n v="5066.46"/>
  </r>
  <r>
    <x v="61"/>
    <n v="7"/>
    <n v="2024"/>
    <n v="3"/>
    <x v="0"/>
    <x v="0"/>
    <x v="3"/>
    <s v="Services Expense - South"/>
    <n v="-25999.75"/>
    <m/>
  </r>
  <r>
    <x v="62"/>
    <n v="7"/>
    <n v="2024"/>
    <n v="3"/>
    <x v="5"/>
    <x v="0"/>
    <x v="1"/>
    <s v="HR Expense - West"/>
    <n v="-6386.86"/>
    <m/>
  </r>
  <r>
    <x v="62"/>
    <n v="7"/>
    <n v="2024"/>
    <n v="3"/>
    <x v="4"/>
    <x v="0"/>
    <x v="2"/>
    <s v="Marketing Expense - North"/>
    <n v="-4348.57"/>
    <m/>
  </r>
  <r>
    <x v="63"/>
    <n v="7"/>
    <n v="2024"/>
    <n v="3"/>
    <x v="4"/>
    <x v="0"/>
    <x v="0"/>
    <s v="Marketing Expense - East"/>
    <n v="-6032.14"/>
    <m/>
  </r>
  <r>
    <x v="63"/>
    <n v="7"/>
    <n v="2024"/>
    <n v="3"/>
    <x v="5"/>
    <x v="0"/>
    <x v="0"/>
    <s v="HR Expense - East"/>
    <n v="-5132.26"/>
    <m/>
  </r>
  <r>
    <x v="63"/>
    <n v="7"/>
    <n v="2024"/>
    <n v="3"/>
    <x v="2"/>
    <x v="1"/>
    <x v="1"/>
    <s v="G&amp;A Revenue - West"/>
    <n v="5206.2700000000004"/>
    <n v="5131.43"/>
  </r>
  <r>
    <x v="64"/>
    <n v="7"/>
    <n v="2024"/>
    <n v="3"/>
    <x v="0"/>
    <x v="0"/>
    <x v="1"/>
    <s v="Services Expense - West"/>
    <n v="-24566.41"/>
    <m/>
  </r>
  <r>
    <x v="64"/>
    <n v="7"/>
    <n v="2024"/>
    <n v="3"/>
    <x v="5"/>
    <x v="0"/>
    <x v="3"/>
    <s v="HR Expense - South"/>
    <n v="-3269.89"/>
    <m/>
  </r>
  <r>
    <x v="65"/>
    <n v="7"/>
    <n v="2024"/>
    <n v="3"/>
    <x v="6"/>
    <x v="0"/>
    <x v="1"/>
    <s v="Sales Expense - West"/>
    <n v="-11227.99"/>
    <m/>
  </r>
  <r>
    <x v="66"/>
    <n v="7"/>
    <n v="2024"/>
    <n v="3"/>
    <x v="0"/>
    <x v="1"/>
    <x v="3"/>
    <s v="Services Revenue - South"/>
    <n v="19702.54"/>
    <n v="19005.97"/>
  </r>
  <r>
    <x v="66"/>
    <n v="7"/>
    <n v="2024"/>
    <n v="3"/>
    <x v="2"/>
    <x v="1"/>
    <x v="3"/>
    <s v="G&amp;A Revenue - South"/>
    <n v="6548.49"/>
    <n v="6457.45"/>
  </r>
  <r>
    <x v="67"/>
    <n v="7"/>
    <n v="2024"/>
    <n v="3"/>
    <x v="7"/>
    <x v="1"/>
    <x v="2"/>
    <s v="Operations Revenue - North"/>
    <n v="15352.08"/>
    <n v="14860.48"/>
  </r>
  <r>
    <x v="67"/>
    <n v="7"/>
    <n v="2024"/>
    <n v="3"/>
    <x v="5"/>
    <x v="0"/>
    <x v="2"/>
    <s v="HR Expense - North"/>
    <n v="-3064.38"/>
    <m/>
  </r>
  <r>
    <x v="67"/>
    <n v="7"/>
    <n v="2024"/>
    <n v="3"/>
    <x v="1"/>
    <x v="1"/>
    <x v="2"/>
    <s v="R&amp;D Revenue - North"/>
    <n v="11710.2"/>
    <n v="11956.53"/>
  </r>
  <r>
    <x v="67"/>
    <n v="7"/>
    <n v="2024"/>
    <n v="3"/>
    <x v="5"/>
    <x v="1"/>
    <x v="3"/>
    <s v="HR Revenue - South"/>
    <n v="4116.54"/>
    <n v="4393.66"/>
  </r>
  <r>
    <x v="68"/>
    <n v="7"/>
    <n v="2024"/>
    <n v="3"/>
    <x v="1"/>
    <x v="0"/>
    <x v="3"/>
    <s v="R&amp;D Expense - South"/>
    <n v="-8888.41"/>
    <m/>
  </r>
  <r>
    <x v="69"/>
    <n v="7"/>
    <n v="2024"/>
    <n v="3"/>
    <x v="2"/>
    <x v="1"/>
    <x v="0"/>
    <s v="G&amp;A Revenue - East"/>
    <n v="5324.18"/>
    <n v="5541.64"/>
  </r>
  <r>
    <x v="69"/>
    <n v="7"/>
    <n v="2024"/>
    <n v="3"/>
    <x v="2"/>
    <x v="0"/>
    <x v="3"/>
    <s v="G&amp;A Expense - South"/>
    <n v="-8262.2199999999993"/>
    <m/>
  </r>
  <r>
    <x v="70"/>
    <n v="7"/>
    <n v="2024"/>
    <n v="3"/>
    <x v="4"/>
    <x v="1"/>
    <x v="2"/>
    <s v="Marketing Revenue - North"/>
    <n v="9762.01"/>
    <n v="9305.14"/>
  </r>
  <r>
    <x v="70"/>
    <n v="7"/>
    <n v="2024"/>
    <n v="3"/>
    <x v="7"/>
    <x v="0"/>
    <x v="2"/>
    <s v="Operations Expense - North"/>
    <n v="-20191.259999999998"/>
    <m/>
  </r>
  <r>
    <x v="71"/>
    <n v="7"/>
    <n v="2024"/>
    <n v="3"/>
    <x v="1"/>
    <x v="0"/>
    <x v="0"/>
    <s v="R&amp;D Expense - East"/>
    <n v="-4736.09"/>
    <m/>
  </r>
  <r>
    <x v="71"/>
    <n v="7"/>
    <n v="2024"/>
    <n v="3"/>
    <x v="4"/>
    <x v="1"/>
    <x v="3"/>
    <s v="Marketing Revenue - South"/>
    <n v="9430.91"/>
    <n v="9991.8799999999992"/>
  </r>
  <r>
    <x v="71"/>
    <n v="7"/>
    <n v="2024"/>
    <n v="3"/>
    <x v="7"/>
    <x v="1"/>
    <x v="3"/>
    <s v="Operations Revenue - South"/>
    <n v="17805.689999999999"/>
    <n v="18527.55"/>
  </r>
  <r>
    <x v="72"/>
    <n v="7"/>
    <n v="2024"/>
    <n v="3"/>
    <x v="1"/>
    <x v="0"/>
    <x v="1"/>
    <s v="R&amp;D Expense - West"/>
    <n v="-12912.36"/>
    <m/>
  </r>
  <r>
    <x v="72"/>
    <n v="7"/>
    <n v="2024"/>
    <n v="3"/>
    <x v="6"/>
    <x v="1"/>
    <x v="2"/>
    <s v="Sales Revenue - North"/>
    <n v="27261.040000000001"/>
    <n v="27237.83"/>
  </r>
  <r>
    <x v="72"/>
    <n v="7"/>
    <n v="2024"/>
    <n v="3"/>
    <x v="6"/>
    <x v="0"/>
    <x v="2"/>
    <s v="Sales Expense - North"/>
    <n v="-10536.81"/>
    <m/>
  </r>
  <r>
    <x v="72"/>
    <n v="7"/>
    <n v="2024"/>
    <n v="3"/>
    <x v="6"/>
    <x v="0"/>
    <x v="3"/>
    <s v="Sales Expense - South"/>
    <n v="-21802.17"/>
    <m/>
  </r>
  <r>
    <x v="73"/>
    <n v="7"/>
    <n v="2024"/>
    <n v="3"/>
    <x v="2"/>
    <x v="0"/>
    <x v="0"/>
    <s v="G&amp;A Expense - East"/>
    <n v="-3820.71"/>
    <m/>
  </r>
  <r>
    <x v="73"/>
    <n v="7"/>
    <n v="2024"/>
    <n v="3"/>
    <x v="3"/>
    <x v="1"/>
    <x v="3"/>
    <s v="Subscriptions Revenue - South"/>
    <n v="19274.79"/>
    <n v="19966.23"/>
  </r>
  <r>
    <x v="74"/>
    <n v="7"/>
    <n v="2024"/>
    <n v="3"/>
    <x v="4"/>
    <x v="1"/>
    <x v="1"/>
    <s v="Marketing Revenue - West"/>
    <n v="7010.01"/>
    <n v="6711.7"/>
  </r>
  <r>
    <x v="74"/>
    <n v="7"/>
    <n v="2024"/>
    <n v="3"/>
    <x v="2"/>
    <x v="0"/>
    <x v="1"/>
    <s v="G&amp;A Expense - West"/>
    <n v="-4094.32"/>
    <m/>
  </r>
  <r>
    <x v="74"/>
    <n v="7"/>
    <n v="2024"/>
    <n v="3"/>
    <x v="0"/>
    <x v="1"/>
    <x v="2"/>
    <s v="Services Revenue - North"/>
    <n v="19783.77"/>
    <n v="20803.490000000002"/>
  </r>
  <r>
    <x v="75"/>
    <n v="7"/>
    <n v="2024"/>
    <n v="3"/>
    <x v="1"/>
    <x v="1"/>
    <x v="0"/>
    <s v="R&amp;D Revenue - East"/>
    <n v="12224.11"/>
    <n v="11822.73"/>
  </r>
  <r>
    <x v="75"/>
    <n v="7"/>
    <n v="2024"/>
    <n v="3"/>
    <x v="0"/>
    <x v="0"/>
    <x v="2"/>
    <s v="Services Expense - North"/>
    <n v="-13153.84"/>
    <m/>
  </r>
  <r>
    <x v="75"/>
    <n v="7"/>
    <n v="2024"/>
    <n v="3"/>
    <x v="3"/>
    <x v="0"/>
    <x v="3"/>
    <s v="Subscriptions Expense - South"/>
    <n v="-27954.6"/>
    <m/>
  </r>
  <r>
    <x v="76"/>
    <n v="7"/>
    <n v="2024"/>
    <n v="3"/>
    <x v="0"/>
    <x v="0"/>
    <x v="0"/>
    <s v="Services Expense - East"/>
    <n v="-16685.32"/>
    <m/>
  </r>
  <r>
    <x v="76"/>
    <n v="7"/>
    <n v="2024"/>
    <n v="3"/>
    <x v="5"/>
    <x v="1"/>
    <x v="0"/>
    <s v="HR Revenue - East"/>
    <n v="4695.29"/>
    <n v="4387.1899999999996"/>
  </r>
  <r>
    <x v="76"/>
    <n v="7"/>
    <n v="2024"/>
    <n v="3"/>
    <x v="5"/>
    <x v="1"/>
    <x v="2"/>
    <s v="HR Revenue - North"/>
    <n v="4505.66"/>
    <n v="4472.46"/>
  </r>
  <r>
    <x v="77"/>
    <n v="7"/>
    <n v="2024"/>
    <n v="3"/>
    <x v="6"/>
    <x v="1"/>
    <x v="0"/>
    <s v="Sales Revenue - East"/>
    <n v="27884.080000000002"/>
    <n v="28294.68"/>
  </r>
  <r>
    <x v="78"/>
    <n v="8"/>
    <n v="2024"/>
    <n v="3"/>
    <x v="3"/>
    <x v="1"/>
    <x v="0"/>
    <s v="Subscriptions Revenue - East"/>
    <n v="30063.15"/>
    <n v="31739.66"/>
  </r>
  <r>
    <x v="78"/>
    <n v="8"/>
    <n v="2024"/>
    <n v="3"/>
    <x v="4"/>
    <x v="1"/>
    <x v="0"/>
    <s v="Marketing Revenue - East"/>
    <n v="11003.19"/>
    <n v="11402.06"/>
  </r>
  <r>
    <x v="78"/>
    <n v="8"/>
    <n v="2024"/>
    <n v="3"/>
    <x v="7"/>
    <x v="0"/>
    <x v="0"/>
    <s v="Operations Expense - East"/>
    <n v="-18258.45"/>
    <m/>
  </r>
  <r>
    <x v="79"/>
    <n v="8"/>
    <n v="2024"/>
    <n v="3"/>
    <x v="4"/>
    <x v="0"/>
    <x v="0"/>
    <s v="Marketing Expense - East"/>
    <n v="-14303.62"/>
    <m/>
  </r>
  <r>
    <x v="79"/>
    <n v="8"/>
    <n v="2024"/>
    <n v="3"/>
    <x v="5"/>
    <x v="1"/>
    <x v="2"/>
    <s v="HR Revenue - North"/>
    <n v="4206.82"/>
    <n v="4163.92"/>
  </r>
  <r>
    <x v="79"/>
    <n v="8"/>
    <n v="2024"/>
    <n v="3"/>
    <x v="6"/>
    <x v="1"/>
    <x v="3"/>
    <s v="Sales Revenue - South"/>
    <n v="27284.03"/>
    <n v="29932.29"/>
  </r>
  <r>
    <x v="80"/>
    <n v="8"/>
    <n v="2024"/>
    <n v="3"/>
    <x v="1"/>
    <x v="1"/>
    <x v="0"/>
    <s v="R&amp;D Revenue - East"/>
    <n v="15368.6"/>
    <n v="14477.98"/>
  </r>
  <r>
    <x v="81"/>
    <n v="8"/>
    <n v="2024"/>
    <n v="3"/>
    <x v="3"/>
    <x v="1"/>
    <x v="2"/>
    <s v="Subscriptions Revenue - North"/>
    <n v="24788.33"/>
    <n v="25385.46"/>
  </r>
  <r>
    <x v="81"/>
    <n v="8"/>
    <n v="2024"/>
    <n v="3"/>
    <x v="1"/>
    <x v="0"/>
    <x v="2"/>
    <s v="R&amp;D Expense - North"/>
    <n v="-7703.79"/>
    <m/>
  </r>
  <r>
    <x v="81"/>
    <n v="8"/>
    <n v="2024"/>
    <n v="3"/>
    <x v="3"/>
    <x v="0"/>
    <x v="3"/>
    <s v="Subscriptions Expense - South"/>
    <n v="-10221.02"/>
    <m/>
  </r>
  <r>
    <x v="82"/>
    <n v="8"/>
    <n v="2024"/>
    <n v="3"/>
    <x v="6"/>
    <x v="0"/>
    <x v="1"/>
    <s v="Sales Expense - West"/>
    <n v="-20733.45"/>
    <m/>
  </r>
  <r>
    <x v="82"/>
    <n v="8"/>
    <n v="2024"/>
    <n v="3"/>
    <x v="2"/>
    <x v="1"/>
    <x v="2"/>
    <s v="G&amp;A Revenue - North"/>
    <n v="5795.7"/>
    <n v="5788.52"/>
  </r>
  <r>
    <x v="83"/>
    <n v="8"/>
    <n v="2024"/>
    <n v="3"/>
    <x v="6"/>
    <x v="0"/>
    <x v="2"/>
    <s v="Sales Expense - North"/>
    <n v="-10644.4"/>
    <m/>
  </r>
  <r>
    <x v="83"/>
    <n v="8"/>
    <n v="2024"/>
    <n v="3"/>
    <x v="2"/>
    <x v="0"/>
    <x v="3"/>
    <s v="G&amp;A Expense - South"/>
    <n v="-8073.43"/>
    <m/>
  </r>
  <r>
    <x v="84"/>
    <n v="8"/>
    <n v="2024"/>
    <n v="3"/>
    <x v="4"/>
    <x v="1"/>
    <x v="1"/>
    <s v="Marketing Revenue - West"/>
    <n v="8617.73"/>
    <n v="9405.1299999999992"/>
  </r>
  <r>
    <x v="84"/>
    <n v="8"/>
    <n v="2024"/>
    <n v="3"/>
    <x v="0"/>
    <x v="0"/>
    <x v="2"/>
    <s v="Services Expense - North"/>
    <n v="-17736.45"/>
    <m/>
  </r>
  <r>
    <x v="85"/>
    <n v="8"/>
    <n v="2024"/>
    <n v="3"/>
    <x v="2"/>
    <x v="0"/>
    <x v="0"/>
    <s v="G&amp;A Expense - East"/>
    <n v="-4484.63"/>
    <m/>
  </r>
  <r>
    <x v="85"/>
    <n v="8"/>
    <n v="2024"/>
    <n v="3"/>
    <x v="0"/>
    <x v="1"/>
    <x v="3"/>
    <s v="Services Revenue - South"/>
    <n v="22310.09"/>
    <n v="21381.57"/>
  </r>
  <r>
    <x v="86"/>
    <n v="8"/>
    <n v="2024"/>
    <n v="3"/>
    <x v="1"/>
    <x v="0"/>
    <x v="1"/>
    <s v="R&amp;D Expense - West"/>
    <n v="-5110.13"/>
    <m/>
  </r>
  <r>
    <x v="87"/>
    <n v="8"/>
    <n v="2024"/>
    <n v="3"/>
    <x v="3"/>
    <x v="0"/>
    <x v="0"/>
    <s v="Subscriptions Expense - East"/>
    <n v="-21347.32"/>
    <m/>
  </r>
  <r>
    <x v="87"/>
    <n v="8"/>
    <n v="2024"/>
    <n v="3"/>
    <x v="0"/>
    <x v="1"/>
    <x v="1"/>
    <s v="Services Revenue - West"/>
    <n v="19627.7"/>
    <n v="19226.78"/>
  </r>
  <r>
    <x v="87"/>
    <n v="8"/>
    <n v="2024"/>
    <n v="3"/>
    <x v="4"/>
    <x v="0"/>
    <x v="1"/>
    <s v="Marketing Expense - West"/>
    <n v="-10636.31"/>
    <m/>
  </r>
  <r>
    <x v="87"/>
    <n v="8"/>
    <n v="2024"/>
    <n v="3"/>
    <x v="1"/>
    <x v="1"/>
    <x v="1"/>
    <s v="R&amp;D Revenue - West"/>
    <n v="9601.9699999999993"/>
    <n v="10204.1"/>
  </r>
  <r>
    <x v="88"/>
    <n v="8"/>
    <n v="2024"/>
    <n v="3"/>
    <x v="3"/>
    <x v="1"/>
    <x v="1"/>
    <s v="Subscriptions Revenue - West"/>
    <n v="29595.119999999999"/>
    <n v="30535.22"/>
  </r>
  <r>
    <x v="88"/>
    <n v="8"/>
    <n v="2024"/>
    <n v="3"/>
    <x v="2"/>
    <x v="1"/>
    <x v="3"/>
    <s v="G&amp;A Revenue - South"/>
    <n v="5273.49"/>
    <n v="5222.54"/>
  </r>
  <r>
    <x v="89"/>
    <n v="8"/>
    <n v="2024"/>
    <n v="3"/>
    <x v="7"/>
    <x v="0"/>
    <x v="3"/>
    <s v="Operations Expense - South"/>
    <n v="-9547.42"/>
    <m/>
  </r>
  <r>
    <x v="90"/>
    <n v="8"/>
    <n v="2024"/>
    <n v="3"/>
    <x v="7"/>
    <x v="1"/>
    <x v="1"/>
    <s v="Operations Revenue - West"/>
    <n v="18656.18"/>
    <n v="19264.21"/>
  </r>
  <r>
    <x v="90"/>
    <n v="8"/>
    <n v="2024"/>
    <n v="3"/>
    <x v="5"/>
    <x v="0"/>
    <x v="2"/>
    <s v="HR Expense - North"/>
    <n v="-2327.9899999999998"/>
    <m/>
  </r>
  <r>
    <x v="91"/>
    <n v="8"/>
    <n v="2024"/>
    <n v="3"/>
    <x v="5"/>
    <x v="0"/>
    <x v="1"/>
    <s v="HR Expense - West"/>
    <n v="-2667.27"/>
    <m/>
  </r>
  <r>
    <x v="91"/>
    <n v="8"/>
    <n v="2024"/>
    <n v="3"/>
    <x v="4"/>
    <x v="0"/>
    <x v="2"/>
    <s v="Marketing Expense - North"/>
    <n v="-8408.09"/>
    <m/>
  </r>
  <r>
    <x v="92"/>
    <n v="8"/>
    <n v="2024"/>
    <n v="3"/>
    <x v="6"/>
    <x v="1"/>
    <x v="0"/>
    <s v="Sales Revenue - East"/>
    <n v="33857.29"/>
    <n v="36222.879999999997"/>
  </r>
  <r>
    <x v="92"/>
    <n v="8"/>
    <n v="2024"/>
    <n v="3"/>
    <x v="4"/>
    <x v="1"/>
    <x v="2"/>
    <s v="Marketing Revenue - North"/>
    <n v="10067.75"/>
    <n v="10389.31"/>
  </r>
  <r>
    <x v="92"/>
    <n v="8"/>
    <n v="2024"/>
    <n v="3"/>
    <x v="4"/>
    <x v="0"/>
    <x v="3"/>
    <s v="Marketing Expense - South"/>
    <n v="-2849.82"/>
    <m/>
  </r>
  <r>
    <x v="92"/>
    <n v="8"/>
    <n v="2024"/>
    <n v="3"/>
    <x v="7"/>
    <x v="1"/>
    <x v="3"/>
    <s v="Operations Revenue - South"/>
    <n v="18033.740000000002"/>
    <n v="18390.55"/>
  </r>
  <r>
    <x v="93"/>
    <n v="8"/>
    <n v="2024"/>
    <n v="3"/>
    <x v="3"/>
    <x v="0"/>
    <x v="2"/>
    <s v="Subscriptions Expense - North"/>
    <n v="-35068.080000000002"/>
    <m/>
  </r>
  <r>
    <x v="93"/>
    <n v="8"/>
    <n v="2024"/>
    <n v="3"/>
    <x v="1"/>
    <x v="1"/>
    <x v="2"/>
    <s v="R&amp;D Revenue - North"/>
    <n v="13546.41"/>
    <n v="14797.54"/>
  </r>
  <r>
    <x v="93"/>
    <n v="8"/>
    <n v="2024"/>
    <n v="3"/>
    <x v="3"/>
    <x v="1"/>
    <x v="3"/>
    <s v="Subscriptions Revenue - South"/>
    <n v="25341.08"/>
    <n v="26612.32"/>
  </r>
  <r>
    <x v="94"/>
    <n v="8"/>
    <n v="2024"/>
    <n v="3"/>
    <x v="0"/>
    <x v="0"/>
    <x v="0"/>
    <s v="Services Expense - East"/>
    <n v="-13757.05"/>
    <m/>
  </r>
  <r>
    <x v="94"/>
    <n v="8"/>
    <n v="2024"/>
    <n v="3"/>
    <x v="7"/>
    <x v="1"/>
    <x v="0"/>
    <s v="Operations Revenue - East"/>
    <n v="16342.48"/>
    <n v="17927.93"/>
  </r>
  <r>
    <x v="94"/>
    <n v="8"/>
    <n v="2024"/>
    <n v="3"/>
    <x v="0"/>
    <x v="0"/>
    <x v="1"/>
    <s v="Services Expense - West"/>
    <n v="-12856.69"/>
    <m/>
  </r>
  <r>
    <x v="94"/>
    <n v="8"/>
    <n v="2024"/>
    <n v="3"/>
    <x v="7"/>
    <x v="0"/>
    <x v="1"/>
    <s v="Operations Expense - West"/>
    <n v="-26978.94"/>
    <m/>
  </r>
  <r>
    <x v="94"/>
    <n v="8"/>
    <n v="2024"/>
    <n v="3"/>
    <x v="2"/>
    <x v="0"/>
    <x v="2"/>
    <s v="G&amp;A Expense - North"/>
    <n v="-6473.55"/>
    <m/>
  </r>
  <r>
    <x v="95"/>
    <n v="8"/>
    <n v="2024"/>
    <n v="3"/>
    <x v="6"/>
    <x v="0"/>
    <x v="0"/>
    <s v="Sales Expense - East"/>
    <n v="-17490.25"/>
    <m/>
  </r>
  <r>
    <x v="95"/>
    <n v="8"/>
    <n v="2024"/>
    <n v="3"/>
    <x v="1"/>
    <x v="0"/>
    <x v="0"/>
    <s v="R&amp;D Expense - East"/>
    <n v="-12420.23"/>
    <m/>
  </r>
  <r>
    <x v="95"/>
    <n v="8"/>
    <n v="2024"/>
    <n v="3"/>
    <x v="1"/>
    <x v="0"/>
    <x v="3"/>
    <s v="R&amp;D Expense - South"/>
    <n v="-6479.74"/>
    <m/>
  </r>
  <r>
    <x v="96"/>
    <n v="8"/>
    <n v="2024"/>
    <n v="3"/>
    <x v="2"/>
    <x v="0"/>
    <x v="1"/>
    <s v="G&amp;A Expense - West"/>
    <n v="-7127.89"/>
    <m/>
  </r>
  <r>
    <x v="96"/>
    <n v="8"/>
    <n v="2024"/>
    <n v="3"/>
    <x v="0"/>
    <x v="0"/>
    <x v="3"/>
    <s v="Services Expense - South"/>
    <n v="-27114.67"/>
    <m/>
  </r>
  <r>
    <x v="97"/>
    <n v="8"/>
    <n v="2024"/>
    <n v="3"/>
    <x v="5"/>
    <x v="0"/>
    <x v="0"/>
    <s v="HR Expense - East"/>
    <n v="-3319.33"/>
    <m/>
  </r>
  <r>
    <x v="97"/>
    <n v="8"/>
    <n v="2024"/>
    <n v="3"/>
    <x v="0"/>
    <x v="1"/>
    <x v="2"/>
    <s v="Services Revenue - North"/>
    <n v="23687.87"/>
    <n v="22177.07"/>
  </r>
  <r>
    <x v="97"/>
    <n v="8"/>
    <n v="2024"/>
    <n v="3"/>
    <x v="5"/>
    <x v="0"/>
    <x v="3"/>
    <s v="HR Expense - South"/>
    <n v="-1985.5"/>
    <m/>
  </r>
  <r>
    <x v="98"/>
    <n v="8"/>
    <n v="2024"/>
    <n v="3"/>
    <x v="2"/>
    <x v="1"/>
    <x v="0"/>
    <s v="G&amp;A Revenue - East"/>
    <n v="7328.59"/>
    <n v="8027.59"/>
  </r>
  <r>
    <x v="98"/>
    <n v="8"/>
    <n v="2024"/>
    <n v="3"/>
    <x v="7"/>
    <x v="0"/>
    <x v="2"/>
    <s v="Operations Expense - North"/>
    <n v="-10175.269999999999"/>
    <m/>
  </r>
  <r>
    <x v="99"/>
    <n v="8"/>
    <n v="2024"/>
    <n v="3"/>
    <x v="5"/>
    <x v="1"/>
    <x v="0"/>
    <s v="HR Revenue - East"/>
    <n v="4297.6400000000003"/>
    <n v="4073.77"/>
  </r>
  <r>
    <x v="99"/>
    <n v="8"/>
    <n v="2024"/>
    <n v="3"/>
    <x v="6"/>
    <x v="1"/>
    <x v="2"/>
    <s v="Sales Revenue - North"/>
    <n v="29764.52"/>
    <n v="31244.13"/>
  </r>
  <r>
    <x v="100"/>
    <n v="8"/>
    <n v="2024"/>
    <n v="3"/>
    <x v="7"/>
    <x v="1"/>
    <x v="2"/>
    <s v="Operations Revenue - North"/>
    <n v="18213.439999999999"/>
    <n v="19303.560000000001"/>
  </r>
  <r>
    <x v="101"/>
    <n v="8"/>
    <n v="2024"/>
    <n v="3"/>
    <x v="2"/>
    <x v="1"/>
    <x v="1"/>
    <s v="G&amp;A Revenue - West"/>
    <n v="6131.74"/>
    <n v="6496.71"/>
  </r>
  <r>
    <x v="101"/>
    <n v="8"/>
    <n v="2024"/>
    <n v="3"/>
    <x v="1"/>
    <x v="1"/>
    <x v="3"/>
    <s v="R&amp;D Revenue - South"/>
    <n v="8853.74"/>
    <n v="8742.77"/>
  </r>
  <r>
    <x v="102"/>
    <n v="8"/>
    <n v="2024"/>
    <n v="3"/>
    <x v="6"/>
    <x v="0"/>
    <x v="3"/>
    <s v="Sales Expense - South"/>
    <n v="-8978.8799999999992"/>
    <m/>
  </r>
  <r>
    <x v="103"/>
    <n v="8"/>
    <n v="2024"/>
    <n v="3"/>
    <x v="5"/>
    <x v="1"/>
    <x v="3"/>
    <s v="HR Revenue - South"/>
    <n v="5282.8"/>
    <n v="5704.7"/>
  </r>
  <r>
    <x v="104"/>
    <n v="8"/>
    <n v="2024"/>
    <n v="3"/>
    <x v="4"/>
    <x v="1"/>
    <x v="3"/>
    <s v="Marketing Revenue - South"/>
    <n v="6224.1"/>
    <n v="6842.41"/>
  </r>
  <r>
    <x v="105"/>
    <n v="8"/>
    <n v="2024"/>
    <n v="3"/>
    <x v="0"/>
    <x v="1"/>
    <x v="0"/>
    <s v="Services Revenue - East"/>
    <n v="24744.560000000001"/>
    <n v="23199.5"/>
  </r>
  <r>
    <x v="105"/>
    <n v="8"/>
    <n v="2024"/>
    <n v="3"/>
    <x v="6"/>
    <x v="1"/>
    <x v="1"/>
    <s v="Sales Revenue - West"/>
    <n v="27764.240000000002"/>
    <n v="28820.6"/>
  </r>
  <r>
    <x v="105"/>
    <n v="8"/>
    <n v="2024"/>
    <n v="3"/>
    <x v="3"/>
    <x v="0"/>
    <x v="1"/>
    <s v="Subscriptions Expense - West"/>
    <n v="-45447.24"/>
    <m/>
  </r>
  <r>
    <x v="105"/>
    <n v="8"/>
    <n v="2024"/>
    <n v="3"/>
    <x v="5"/>
    <x v="1"/>
    <x v="1"/>
    <s v="HR Revenue - West"/>
    <n v="4833.45"/>
    <n v="4957.9399999999996"/>
  </r>
  <r>
    <x v="106"/>
    <n v="9"/>
    <n v="2024"/>
    <n v="3"/>
    <x v="2"/>
    <x v="1"/>
    <x v="1"/>
    <s v="G&amp;A Revenue - West"/>
    <n v="5438.67"/>
    <n v="5191.72"/>
  </r>
  <r>
    <x v="106"/>
    <n v="9"/>
    <n v="2024"/>
    <n v="3"/>
    <x v="4"/>
    <x v="1"/>
    <x v="3"/>
    <s v="Marketing Revenue - South"/>
    <n v="9402.2999999999993"/>
    <n v="10024.08"/>
  </r>
  <r>
    <x v="107"/>
    <n v="9"/>
    <n v="2024"/>
    <n v="3"/>
    <x v="3"/>
    <x v="1"/>
    <x v="1"/>
    <s v="Subscriptions Revenue - West"/>
    <n v="26126.14"/>
    <n v="26665.95"/>
  </r>
  <r>
    <x v="107"/>
    <n v="9"/>
    <n v="2024"/>
    <n v="3"/>
    <x v="2"/>
    <x v="1"/>
    <x v="3"/>
    <s v="G&amp;A Revenue - South"/>
    <n v="6237.79"/>
    <n v="5886.21"/>
  </r>
  <r>
    <x v="108"/>
    <n v="9"/>
    <n v="2024"/>
    <n v="3"/>
    <x v="1"/>
    <x v="1"/>
    <x v="0"/>
    <s v="R&amp;D Revenue - East"/>
    <n v="12624.82"/>
    <n v="13242.34"/>
  </r>
  <r>
    <x v="108"/>
    <n v="9"/>
    <n v="2024"/>
    <n v="3"/>
    <x v="7"/>
    <x v="1"/>
    <x v="3"/>
    <s v="Operations Revenue - South"/>
    <n v="13763.98"/>
    <n v="14166.65"/>
  </r>
  <r>
    <x v="109"/>
    <n v="9"/>
    <n v="2024"/>
    <n v="3"/>
    <x v="1"/>
    <x v="0"/>
    <x v="3"/>
    <s v="R&amp;D Expense - South"/>
    <n v="-7271.68"/>
    <m/>
  </r>
  <r>
    <x v="110"/>
    <n v="9"/>
    <n v="2024"/>
    <n v="3"/>
    <x v="2"/>
    <x v="0"/>
    <x v="0"/>
    <s v="G&amp;A Expense - East"/>
    <n v="-4485.99"/>
    <m/>
  </r>
  <r>
    <x v="110"/>
    <n v="9"/>
    <n v="2024"/>
    <n v="3"/>
    <x v="0"/>
    <x v="0"/>
    <x v="1"/>
    <s v="Services Expense - West"/>
    <n v="-10720.45"/>
    <m/>
  </r>
  <r>
    <x v="110"/>
    <n v="9"/>
    <n v="2024"/>
    <n v="3"/>
    <x v="3"/>
    <x v="1"/>
    <x v="2"/>
    <s v="Subscriptions Revenue - North"/>
    <n v="28759.42"/>
    <n v="29277.63"/>
  </r>
  <r>
    <x v="111"/>
    <n v="9"/>
    <n v="2024"/>
    <n v="3"/>
    <x v="1"/>
    <x v="0"/>
    <x v="0"/>
    <s v="R&amp;D Expense - East"/>
    <n v="-11142.3"/>
    <m/>
  </r>
  <r>
    <x v="112"/>
    <n v="9"/>
    <n v="2024"/>
    <n v="3"/>
    <x v="3"/>
    <x v="1"/>
    <x v="0"/>
    <s v="Subscriptions Revenue - East"/>
    <n v="25641.87"/>
    <n v="24313.75"/>
  </r>
  <r>
    <x v="112"/>
    <n v="9"/>
    <n v="2024"/>
    <n v="3"/>
    <x v="6"/>
    <x v="0"/>
    <x v="3"/>
    <s v="Sales Expense - South"/>
    <n v="-19091.07"/>
    <m/>
  </r>
  <r>
    <x v="113"/>
    <n v="9"/>
    <n v="2024"/>
    <n v="3"/>
    <x v="6"/>
    <x v="0"/>
    <x v="0"/>
    <s v="Sales Expense - East"/>
    <n v="-32506.45"/>
    <m/>
  </r>
  <r>
    <x v="113"/>
    <n v="9"/>
    <n v="2024"/>
    <n v="3"/>
    <x v="2"/>
    <x v="1"/>
    <x v="0"/>
    <s v="G&amp;A Revenue - East"/>
    <n v="6874.6"/>
    <n v="7198.6"/>
  </r>
  <r>
    <x v="113"/>
    <n v="9"/>
    <n v="2024"/>
    <n v="3"/>
    <x v="6"/>
    <x v="0"/>
    <x v="2"/>
    <s v="Sales Expense - North"/>
    <n v="-20148.27"/>
    <m/>
  </r>
  <r>
    <x v="113"/>
    <n v="9"/>
    <n v="2024"/>
    <n v="3"/>
    <x v="1"/>
    <x v="1"/>
    <x v="2"/>
    <s v="R&amp;D Revenue - North"/>
    <n v="13392.55"/>
    <n v="14489"/>
  </r>
  <r>
    <x v="113"/>
    <n v="9"/>
    <n v="2024"/>
    <n v="3"/>
    <x v="1"/>
    <x v="0"/>
    <x v="2"/>
    <s v="R&amp;D Expense - North"/>
    <n v="-17408.310000000001"/>
    <m/>
  </r>
  <r>
    <x v="113"/>
    <n v="9"/>
    <n v="2024"/>
    <n v="3"/>
    <x v="2"/>
    <x v="0"/>
    <x v="2"/>
    <s v="G&amp;A Expense - North"/>
    <n v="-3195.23"/>
    <m/>
  </r>
  <r>
    <x v="113"/>
    <n v="9"/>
    <n v="2024"/>
    <n v="3"/>
    <x v="5"/>
    <x v="1"/>
    <x v="3"/>
    <s v="HR Revenue - South"/>
    <n v="4919.96"/>
    <n v="5153.2299999999996"/>
  </r>
  <r>
    <x v="114"/>
    <n v="9"/>
    <n v="2024"/>
    <n v="3"/>
    <x v="3"/>
    <x v="0"/>
    <x v="1"/>
    <s v="Subscriptions Expense - West"/>
    <n v="-17720.2"/>
    <m/>
  </r>
  <r>
    <x v="114"/>
    <n v="9"/>
    <n v="2024"/>
    <n v="3"/>
    <x v="3"/>
    <x v="0"/>
    <x v="2"/>
    <s v="Subscriptions Expense - North"/>
    <n v="-9187.39"/>
    <m/>
  </r>
  <r>
    <x v="115"/>
    <n v="9"/>
    <n v="2024"/>
    <n v="3"/>
    <x v="4"/>
    <x v="0"/>
    <x v="1"/>
    <s v="Marketing Expense - West"/>
    <n v="-4359.5600000000004"/>
    <m/>
  </r>
  <r>
    <x v="115"/>
    <n v="9"/>
    <n v="2024"/>
    <n v="3"/>
    <x v="6"/>
    <x v="1"/>
    <x v="3"/>
    <s v="Sales Revenue - South"/>
    <n v="29759.52"/>
    <n v="28766.34"/>
  </r>
  <r>
    <x v="116"/>
    <n v="9"/>
    <n v="2024"/>
    <n v="3"/>
    <x v="0"/>
    <x v="0"/>
    <x v="0"/>
    <s v="Services Expense - East"/>
    <n v="-8988.4599999999991"/>
    <m/>
  </r>
  <r>
    <x v="117"/>
    <n v="9"/>
    <n v="2024"/>
    <n v="3"/>
    <x v="4"/>
    <x v="0"/>
    <x v="0"/>
    <s v="Marketing Expense - East"/>
    <n v="-4692.1899999999996"/>
    <m/>
  </r>
  <r>
    <x v="117"/>
    <n v="9"/>
    <n v="2024"/>
    <n v="3"/>
    <x v="5"/>
    <x v="1"/>
    <x v="1"/>
    <s v="HR Revenue - West"/>
    <n v="5748.99"/>
    <n v="6024.27"/>
  </r>
  <r>
    <x v="117"/>
    <n v="9"/>
    <n v="2024"/>
    <n v="3"/>
    <x v="2"/>
    <x v="0"/>
    <x v="1"/>
    <s v="G&amp;A Expense - West"/>
    <n v="-7990.89"/>
    <m/>
  </r>
  <r>
    <x v="118"/>
    <n v="9"/>
    <n v="2024"/>
    <n v="3"/>
    <x v="0"/>
    <x v="1"/>
    <x v="0"/>
    <s v="Services Revenue - East"/>
    <n v="22371.43"/>
    <n v="23268.21"/>
  </r>
  <r>
    <x v="118"/>
    <n v="9"/>
    <n v="2024"/>
    <n v="3"/>
    <x v="0"/>
    <x v="1"/>
    <x v="3"/>
    <s v="Services Revenue - South"/>
    <n v="17297.669999999998"/>
    <n v="17333.95"/>
  </r>
  <r>
    <x v="119"/>
    <n v="9"/>
    <n v="2024"/>
    <n v="3"/>
    <x v="7"/>
    <x v="0"/>
    <x v="2"/>
    <s v="Operations Expense - North"/>
    <n v="-10520.81"/>
    <m/>
  </r>
  <r>
    <x v="120"/>
    <n v="9"/>
    <n v="2024"/>
    <n v="3"/>
    <x v="7"/>
    <x v="0"/>
    <x v="1"/>
    <s v="Operations Expense - West"/>
    <n v="-19711.48"/>
    <m/>
  </r>
  <r>
    <x v="120"/>
    <n v="9"/>
    <n v="2024"/>
    <n v="3"/>
    <x v="4"/>
    <x v="1"/>
    <x v="2"/>
    <s v="Marketing Revenue - North"/>
    <n v="8318.26"/>
    <n v="7821.1"/>
  </r>
  <r>
    <x v="120"/>
    <n v="9"/>
    <n v="2024"/>
    <n v="3"/>
    <x v="3"/>
    <x v="1"/>
    <x v="3"/>
    <s v="Subscriptions Revenue - South"/>
    <n v="22796.9"/>
    <n v="24035.64"/>
  </r>
  <r>
    <x v="120"/>
    <n v="9"/>
    <n v="2024"/>
    <n v="3"/>
    <x v="3"/>
    <x v="0"/>
    <x v="3"/>
    <s v="Subscriptions Expense - South"/>
    <n v="-34917.01"/>
    <m/>
  </r>
  <r>
    <x v="120"/>
    <n v="9"/>
    <n v="2024"/>
    <n v="3"/>
    <x v="7"/>
    <x v="0"/>
    <x v="3"/>
    <s v="Operations Expense - South"/>
    <n v="-17514.37"/>
    <m/>
  </r>
  <r>
    <x v="121"/>
    <n v="9"/>
    <n v="2024"/>
    <n v="3"/>
    <x v="5"/>
    <x v="1"/>
    <x v="0"/>
    <s v="HR Revenue - East"/>
    <n v="4145.72"/>
    <n v="4308.5"/>
  </r>
  <r>
    <x v="121"/>
    <n v="9"/>
    <n v="2024"/>
    <n v="3"/>
    <x v="0"/>
    <x v="1"/>
    <x v="1"/>
    <s v="Services Revenue - West"/>
    <n v="19585.38"/>
    <n v="18801.740000000002"/>
  </r>
  <r>
    <x v="121"/>
    <n v="9"/>
    <n v="2024"/>
    <n v="3"/>
    <x v="2"/>
    <x v="1"/>
    <x v="2"/>
    <s v="G&amp;A Revenue - North"/>
    <n v="4960.97"/>
    <n v="5026.72"/>
  </r>
  <r>
    <x v="122"/>
    <n v="9"/>
    <n v="2024"/>
    <n v="3"/>
    <x v="1"/>
    <x v="0"/>
    <x v="1"/>
    <s v="R&amp;D Expense - West"/>
    <n v="-13635.13"/>
    <m/>
  </r>
  <r>
    <x v="122"/>
    <n v="9"/>
    <n v="2024"/>
    <n v="3"/>
    <x v="6"/>
    <x v="1"/>
    <x v="2"/>
    <s v="Sales Revenue - North"/>
    <n v="32893.64"/>
    <n v="31846.82"/>
  </r>
  <r>
    <x v="123"/>
    <n v="9"/>
    <n v="2024"/>
    <n v="3"/>
    <x v="6"/>
    <x v="1"/>
    <x v="0"/>
    <s v="Sales Revenue - East"/>
    <n v="25344.33"/>
    <n v="25645.48"/>
  </r>
  <r>
    <x v="123"/>
    <n v="9"/>
    <n v="2024"/>
    <n v="3"/>
    <x v="4"/>
    <x v="1"/>
    <x v="0"/>
    <s v="Marketing Revenue - East"/>
    <n v="8328.23"/>
    <n v="7995.99"/>
  </r>
  <r>
    <x v="123"/>
    <n v="9"/>
    <n v="2024"/>
    <n v="3"/>
    <x v="5"/>
    <x v="0"/>
    <x v="2"/>
    <s v="HR Expense - North"/>
    <n v="-3975.08"/>
    <m/>
  </r>
  <r>
    <x v="124"/>
    <n v="9"/>
    <n v="2024"/>
    <n v="3"/>
    <x v="3"/>
    <x v="0"/>
    <x v="0"/>
    <s v="Subscriptions Expense - East"/>
    <n v="-13147.28"/>
    <m/>
  </r>
  <r>
    <x v="124"/>
    <n v="9"/>
    <n v="2024"/>
    <n v="3"/>
    <x v="6"/>
    <x v="1"/>
    <x v="1"/>
    <s v="Sales Revenue - West"/>
    <n v="25050.17"/>
    <n v="23592.97"/>
  </r>
  <r>
    <x v="124"/>
    <n v="9"/>
    <n v="2024"/>
    <n v="3"/>
    <x v="7"/>
    <x v="1"/>
    <x v="1"/>
    <s v="Operations Revenue - West"/>
    <n v="14883.52"/>
    <n v="15618.91"/>
  </r>
  <r>
    <x v="124"/>
    <n v="9"/>
    <n v="2024"/>
    <n v="3"/>
    <x v="7"/>
    <x v="1"/>
    <x v="2"/>
    <s v="Operations Revenue - North"/>
    <n v="12586.6"/>
    <n v="13243.18"/>
  </r>
  <r>
    <x v="124"/>
    <n v="9"/>
    <n v="2024"/>
    <n v="3"/>
    <x v="4"/>
    <x v="0"/>
    <x v="3"/>
    <s v="Marketing Expense - South"/>
    <n v="-4419.45"/>
    <m/>
  </r>
  <r>
    <x v="125"/>
    <n v="9"/>
    <n v="2024"/>
    <n v="3"/>
    <x v="0"/>
    <x v="0"/>
    <x v="2"/>
    <s v="Services Expense - North"/>
    <n v="-12945.73"/>
    <m/>
  </r>
  <r>
    <x v="125"/>
    <n v="9"/>
    <n v="2024"/>
    <n v="3"/>
    <x v="5"/>
    <x v="0"/>
    <x v="3"/>
    <s v="HR Expense - South"/>
    <n v="-2526.4"/>
    <m/>
  </r>
  <r>
    <x v="126"/>
    <n v="9"/>
    <n v="2024"/>
    <n v="3"/>
    <x v="7"/>
    <x v="0"/>
    <x v="0"/>
    <s v="Operations Expense - East"/>
    <n v="-11327.82"/>
    <m/>
  </r>
  <r>
    <x v="126"/>
    <n v="9"/>
    <n v="2024"/>
    <n v="3"/>
    <x v="5"/>
    <x v="0"/>
    <x v="0"/>
    <s v="HR Expense - East"/>
    <n v="-2906.85"/>
    <m/>
  </r>
  <r>
    <x v="126"/>
    <n v="9"/>
    <n v="2024"/>
    <n v="3"/>
    <x v="5"/>
    <x v="1"/>
    <x v="2"/>
    <s v="HR Revenue - North"/>
    <n v="5054.82"/>
    <n v="5093.0200000000004"/>
  </r>
  <r>
    <x v="126"/>
    <n v="9"/>
    <n v="2024"/>
    <n v="3"/>
    <x v="1"/>
    <x v="1"/>
    <x v="3"/>
    <s v="R&amp;D Revenue - South"/>
    <n v="10084.82"/>
    <n v="10051.709999999999"/>
  </r>
  <r>
    <x v="127"/>
    <n v="9"/>
    <n v="2024"/>
    <n v="3"/>
    <x v="7"/>
    <x v="1"/>
    <x v="0"/>
    <s v="Operations Revenue - East"/>
    <n v="16213.5"/>
    <n v="15877.14"/>
  </r>
  <r>
    <x v="127"/>
    <n v="9"/>
    <n v="2024"/>
    <n v="3"/>
    <x v="4"/>
    <x v="1"/>
    <x v="1"/>
    <s v="Marketing Revenue - West"/>
    <n v="8390.17"/>
    <n v="8895.1"/>
  </r>
  <r>
    <x v="127"/>
    <n v="9"/>
    <n v="2024"/>
    <n v="3"/>
    <x v="5"/>
    <x v="0"/>
    <x v="1"/>
    <s v="HR Expense - West"/>
    <n v="-4399.0600000000004"/>
    <m/>
  </r>
  <r>
    <x v="128"/>
    <n v="9"/>
    <n v="2024"/>
    <n v="3"/>
    <x v="4"/>
    <x v="0"/>
    <x v="2"/>
    <s v="Marketing Expense - North"/>
    <n v="-8779.07"/>
    <m/>
  </r>
  <r>
    <x v="128"/>
    <n v="9"/>
    <n v="2024"/>
    <n v="3"/>
    <x v="2"/>
    <x v="0"/>
    <x v="3"/>
    <s v="G&amp;A Expense - South"/>
    <n v="-4242.07"/>
    <m/>
  </r>
  <r>
    <x v="129"/>
    <n v="9"/>
    <n v="2024"/>
    <n v="3"/>
    <x v="6"/>
    <x v="0"/>
    <x v="1"/>
    <s v="Sales Expense - West"/>
    <n v="-12817.77"/>
    <m/>
  </r>
  <r>
    <x v="129"/>
    <n v="9"/>
    <n v="2024"/>
    <n v="3"/>
    <x v="1"/>
    <x v="1"/>
    <x v="1"/>
    <s v="R&amp;D Revenue - West"/>
    <n v="9731.11"/>
    <n v="9286.19"/>
  </r>
  <r>
    <x v="130"/>
    <n v="9"/>
    <n v="2024"/>
    <n v="3"/>
    <x v="0"/>
    <x v="0"/>
    <x v="3"/>
    <s v="Services Expense - South"/>
    <n v="-7236.73"/>
    <m/>
  </r>
  <r>
    <x v="131"/>
    <n v="9"/>
    <n v="2024"/>
    <n v="3"/>
    <x v="0"/>
    <x v="1"/>
    <x v="2"/>
    <s v="Services Revenue - North"/>
    <n v="17707.88"/>
    <n v="16924.349999999999"/>
  </r>
  <r>
    <x v="132"/>
    <n v="10"/>
    <n v="2024"/>
    <n v="4"/>
    <x v="3"/>
    <x v="1"/>
    <x v="2"/>
    <s v="Subscriptions Revenue - North"/>
    <n v="29346.57"/>
    <n v="31974.15"/>
  </r>
  <r>
    <x v="132"/>
    <n v="10"/>
    <n v="2024"/>
    <n v="4"/>
    <x v="2"/>
    <x v="0"/>
    <x v="2"/>
    <s v="G&amp;A Expense - North"/>
    <n v="-6055.94"/>
    <m/>
  </r>
  <r>
    <x v="132"/>
    <n v="10"/>
    <n v="2024"/>
    <n v="4"/>
    <x v="2"/>
    <x v="1"/>
    <x v="3"/>
    <s v="G&amp;A Revenue - South"/>
    <n v="5668.69"/>
    <n v="6051.56"/>
  </r>
  <r>
    <x v="133"/>
    <n v="10"/>
    <n v="2024"/>
    <n v="4"/>
    <x v="0"/>
    <x v="1"/>
    <x v="0"/>
    <s v="Services Revenue - East"/>
    <n v="21290.46"/>
    <n v="21348.05"/>
  </r>
  <r>
    <x v="133"/>
    <n v="10"/>
    <n v="2024"/>
    <n v="4"/>
    <x v="4"/>
    <x v="0"/>
    <x v="2"/>
    <s v="Marketing Expense - North"/>
    <n v="-5963.4"/>
    <m/>
  </r>
  <r>
    <x v="134"/>
    <n v="10"/>
    <n v="2024"/>
    <n v="4"/>
    <x v="4"/>
    <x v="1"/>
    <x v="0"/>
    <s v="Marketing Revenue - East"/>
    <n v="9023.9699999999993"/>
    <n v="9521.2099999999991"/>
  </r>
  <r>
    <x v="134"/>
    <n v="10"/>
    <n v="2024"/>
    <n v="4"/>
    <x v="6"/>
    <x v="1"/>
    <x v="1"/>
    <s v="Sales Revenue - West"/>
    <n v="25418.57"/>
    <n v="27596.45"/>
  </r>
  <r>
    <x v="134"/>
    <n v="10"/>
    <n v="2024"/>
    <n v="4"/>
    <x v="3"/>
    <x v="0"/>
    <x v="2"/>
    <s v="Subscriptions Expense - North"/>
    <n v="-16280.14"/>
    <m/>
  </r>
  <r>
    <x v="134"/>
    <n v="10"/>
    <n v="2024"/>
    <n v="4"/>
    <x v="7"/>
    <x v="0"/>
    <x v="3"/>
    <s v="Operations Expense - South"/>
    <n v="-12967.5"/>
    <m/>
  </r>
  <r>
    <x v="135"/>
    <n v="10"/>
    <n v="2024"/>
    <n v="4"/>
    <x v="7"/>
    <x v="0"/>
    <x v="2"/>
    <s v="Operations Expense - North"/>
    <n v="-24559.83"/>
    <m/>
  </r>
  <r>
    <x v="136"/>
    <n v="10"/>
    <n v="2024"/>
    <n v="4"/>
    <x v="0"/>
    <x v="1"/>
    <x v="2"/>
    <s v="Services Revenue - North"/>
    <n v="23824.55"/>
    <n v="25235.56"/>
  </r>
  <r>
    <x v="136"/>
    <n v="10"/>
    <n v="2024"/>
    <n v="4"/>
    <x v="0"/>
    <x v="0"/>
    <x v="2"/>
    <s v="Services Expense - North"/>
    <n v="-15681.58"/>
    <m/>
  </r>
  <r>
    <x v="136"/>
    <n v="10"/>
    <n v="2024"/>
    <n v="4"/>
    <x v="6"/>
    <x v="0"/>
    <x v="3"/>
    <s v="Sales Expense - South"/>
    <n v="-12034.65"/>
    <m/>
  </r>
  <r>
    <x v="137"/>
    <n v="10"/>
    <n v="2024"/>
    <n v="4"/>
    <x v="5"/>
    <x v="0"/>
    <x v="2"/>
    <s v="HR Expense - North"/>
    <n v="-2312.08"/>
    <m/>
  </r>
  <r>
    <x v="138"/>
    <n v="10"/>
    <n v="2024"/>
    <n v="4"/>
    <x v="4"/>
    <x v="0"/>
    <x v="1"/>
    <s v="Marketing Expense - West"/>
    <n v="-8476.5"/>
    <m/>
  </r>
  <r>
    <x v="139"/>
    <n v="10"/>
    <n v="2024"/>
    <n v="4"/>
    <x v="0"/>
    <x v="1"/>
    <x v="1"/>
    <s v="Services Revenue - West"/>
    <n v="18914.93"/>
    <n v="20117.52"/>
  </r>
  <r>
    <x v="139"/>
    <n v="10"/>
    <n v="2024"/>
    <n v="4"/>
    <x v="1"/>
    <x v="1"/>
    <x v="1"/>
    <s v="R&amp;D Revenue - West"/>
    <n v="15082.48"/>
    <n v="14881.34"/>
  </r>
  <r>
    <x v="139"/>
    <n v="10"/>
    <n v="2024"/>
    <n v="4"/>
    <x v="7"/>
    <x v="1"/>
    <x v="2"/>
    <s v="Operations Revenue - North"/>
    <n v="16554.009999999998"/>
    <n v="18084.04"/>
  </r>
  <r>
    <x v="140"/>
    <n v="10"/>
    <n v="2024"/>
    <n v="4"/>
    <x v="5"/>
    <x v="1"/>
    <x v="0"/>
    <s v="HR Revenue - East"/>
    <n v="5891.71"/>
    <n v="5786.54"/>
  </r>
  <r>
    <x v="140"/>
    <n v="10"/>
    <n v="2024"/>
    <n v="4"/>
    <x v="1"/>
    <x v="1"/>
    <x v="0"/>
    <s v="R&amp;D Revenue - East"/>
    <n v="16222.93"/>
    <n v="15333.45"/>
  </r>
  <r>
    <x v="140"/>
    <n v="10"/>
    <n v="2024"/>
    <n v="4"/>
    <x v="7"/>
    <x v="1"/>
    <x v="1"/>
    <s v="Operations Revenue - West"/>
    <n v="20926.14"/>
    <n v="20969.77"/>
  </r>
  <r>
    <x v="141"/>
    <n v="10"/>
    <n v="2024"/>
    <n v="4"/>
    <x v="3"/>
    <x v="0"/>
    <x v="0"/>
    <s v="Subscriptions Expense - East"/>
    <n v="-20045.169999999998"/>
    <m/>
  </r>
  <r>
    <x v="141"/>
    <n v="10"/>
    <n v="2024"/>
    <n v="4"/>
    <x v="1"/>
    <x v="1"/>
    <x v="3"/>
    <s v="R&amp;D Revenue - South"/>
    <n v="13421.37"/>
    <n v="14724.91"/>
  </r>
  <r>
    <x v="142"/>
    <n v="10"/>
    <n v="2024"/>
    <n v="4"/>
    <x v="4"/>
    <x v="0"/>
    <x v="0"/>
    <s v="Marketing Expense - East"/>
    <n v="-3507.56"/>
    <m/>
  </r>
  <r>
    <x v="142"/>
    <n v="10"/>
    <n v="2024"/>
    <n v="4"/>
    <x v="2"/>
    <x v="1"/>
    <x v="0"/>
    <s v="G&amp;A Revenue - East"/>
    <n v="5743.61"/>
    <n v="5511.55"/>
  </r>
  <r>
    <x v="142"/>
    <n v="10"/>
    <n v="2024"/>
    <n v="4"/>
    <x v="2"/>
    <x v="0"/>
    <x v="0"/>
    <s v="G&amp;A Expense - East"/>
    <n v="-6555.08"/>
    <m/>
  </r>
  <r>
    <x v="142"/>
    <n v="10"/>
    <n v="2024"/>
    <n v="4"/>
    <x v="1"/>
    <x v="0"/>
    <x v="3"/>
    <s v="R&amp;D Expense - South"/>
    <n v="-7223.58"/>
    <m/>
  </r>
  <r>
    <x v="143"/>
    <n v="10"/>
    <n v="2024"/>
    <n v="4"/>
    <x v="3"/>
    <x v="1"/>
    <x v="1"/>
    <s v="Subscriptions Revenue - West"/>
    <n v="27999.95"/>
    <n v="29590.93"/>
  </r>
  <r>
    <x v="144"/>
    <n v="10"/>
    <n v="2024"/>
    <n v="4"/>
    <x v="0"/>
    <x v="0"/>
    <x v="0"/>
    <s v="Services Expense - East"/>
    <n v="-28520.67"/>
    <m/>
  </r>
  <r>
    <x v="144"/>
    <n v="10"/>
    <n v="2024"/>
    <n v="4"/>
    <x v="3"/>
    <x v="0"/>
    <x v="1"/>
    <s v="Subscriptions Expense - West"/>
    <n v="-13043.67"/>
    <m/>
  </r>
  <r>
    <x v="145"/>
    <n v="10"/>
    <n v="2024"/>
    <n v="4"/>
    <x v="6"/>
    <x v="1"/>
    <x v="0"/>
    <s v="Sales Revenue - East"/>
    <n v="28960.46"/>
    <n v="31640.02"/>
  </r>
  <r>
    <x v="145"/>
    <n v="10"/>
    <n v="2024"/>
    <n v="4"/>
    <x v="0"/>
    <x v="0"/>
    <x v="1"/>
    <s v="Services Expense - West"/>
    <n v="-26810.55"/>
    <m/>
  </r>
  <r>
    <x v="146"/>
    <n v="10"/>
    <n v="2024"/>
    <n v="4"/>
    <x v="6"/>
    <x v="1"/>
    <x v="2"/>
    <s v="Sales Revenue - North"/>
    <n v="35865.660000000003"/>
    <n v="35567.879999999997"/>
  </r>
  <r>
    <x v="147"/>
    <n v="10"/>
    <n v="2024"/>
    <n v="4"/>
    <x v="6"/>
    <x v="1"/>
    <x v="3"/>
    <s v="Sales Revenue - South"/>
    <n v="33751.919999999998"/>
    <n v="31939.02"/>
  </r>
  <r>
    <x v="148"/>
    <n v="10"/>
    <n v="2024"/>
    <n v="4"/>
    <x v="7"/>
    <x v="0"/>
    <x v="1"/>
    <s v="Operations Expense - West"/>
    <n v="-13407.22"/>
    <m/>
  </r>
  <r>
    <x v="148"/>
    <n v="10"/>
    <n v="2024"/>
    <n v="4"/>
    <x v="1"/>
    <x v="0"/>
    <x v="1"/>
    <s v="R&amp;D Expense - West"/>
    <n v="-21494.63"/>
    <m/>
  </r>
  <r>
    <x v="149"/>
    <n v="10"/>
    <n v="2024"/>
    <n v="4"/>
    <x v="6"/>
    <x v="0"/>
    <x v="2"/>
    <s v="Sales Expense - North"/>
    <n v="-38379.360000000001"/>
    <m/>
  </r>
  <r>
    <x v="149"/>
    <n v="10"/>
    <n v="2024"/>
    <n v="4"/>
    <x v="5"/>
    <x v="1"/>
    <x v="3"/>
    <s v="HR Revenue - South"/>
    <n v="3924.77"/>
    <n v="4042.78"/>
  </r>
  <r>
    <x v="150"/>
    <n v="10"/>
    <n v="2024"/>
    <n v="4"/>
    <x v="3"/>
    <x v="1"/>
    <x v="0"/>
    <s v="Subscriptions Revenue - East"/>
    <n v="30713.119999999999"/>
    <n v="29293.49"/>
  </r>
  <r>
    <x v="150"/>
    <n v="10"/>
    <n v="2024"/>
    <n v="4"/>
    <x v="2"/>
    <x v="1"/>
    <x v="1"/>
    <s v="G&amp;A Revenue - West"/>
    <n v="6434.36"/>
    <n v="6239.07"/>
  </r>
  <r>
    <x v="150"/>
    <n v="10"/>
    <n v="2024"/>
    <n v="4"/>
    <x v="1"/>
    <x v="1"/>
    <x v="2"/>
    <s v="R&amp;D Revenue - North"/>
    <n v="12387.73"/>
    <n v="12685.93"/>
  </r>
  <r>
    <x v="150"/>
    <n v="10"/>
    <n v="2024"/>
    <n v="4"/>
    <x v="2"/>
    <x v="1"/>
    <x v="2"/>
    <s v="G&amp;A Revenue - North"/>
    <n v="7046.16"/>
    <n v="6567.33"/>
  </r>
  <r>
    <x v="150"/>
    <n v="10"/>
    <n v="2024"/>
    <n v="4"/>
    <x v="7"/>
    <x v="1"/>
    <x v="3"/>
    <s v="Operations Revenue - South"/>
    <n v="16531"/>
    <n v="15808.07"/>
  </r>
  <r>
    <x v="150"/>
    <n v="10"/>
    <n v="2024"/>
    <n v="4"/>
    <x v="2"/>
    <x v="0"/>
    <x v="3"/>
    <s v="G&amp;A Expense - South"/>
    <n v="-3586.31"/>
    <m/>
  </r>
  <r>
    <x v="151"/>
    <n v="10"/>
    <n v="2024"/>
    <n v="4"/>
    <x v="7"/>
    <x v="1"/>
    <x v="0"/>
    <s v="Operations Revenue - East"/>
    <n v="16320.19"/>
    <n v="16522.73"/>
  </r>
  <r>
    <x v="151"/>
    <n v="10"/>
    <n v="2024"/>
    <n v="4"/>
    <x v="1"/>
    <x v="0"/>
    <x v="2"/>
    <s v="R&amp;D Expense - North"/>
    <n v="-19065.13"/>
    <m/>
  </r>
  <r>
    <x v="151"/>
    <n v="10"/>
    <n v="2024"/>
    <n v="4"/>
    <x v="4"/>
    <x v="1"/>
    <x v="3"/>
    <s v="Marketing Revenue - South"/>
    <n v="9920.99"/>
    <n v="9862.01"/>
  </r>
  <r>
    <x v="151"/>
    <n v="10"/>
    <n v="2024"/>
    <n v="4"/>
    <x v="5"/>
    <x v="0"/>
    <x v="3"/>
    <s v="HR Expense - South"/>
    <n v="-2550.9499999999998"/>
    <m/>
  </r>
  <r>
    <x v="152"/>
    <n v="10"/>
    <n v="2024"/>
    <n v="4"/>
    <x v="0"/>
    <x v="1"/>
    <x v="3"/>
    <s v="Services Revenue - South"/>
    <n v="18547.759999999998"/>
    <n v="18927.53"/>
  </r>
  <r>
    <x v="153"/>
    <n v="10"/>
    <n v="2024"/>
    <n v="4"/>
    <x v="6"/>
    <x v="0"/>
    <x v="0"/>
    <s v="Sales Expense - East"/>
    <n v="-32002.28"/>
    <m/>
  </r>
  <r>
    <x v="153"/>
    <n v="10"/>
    <n v="2024"/>
    <n v="4"/>
    <x v="5"/>
    <x v="0"/>
    <x v="0"/>
    <s v="HR Expense - East"/>
    <n v="-9013.34"/>
    <m/>
  </r>
  <r>
    <x v="153"/>
    <n v="10"/>
    <n v="2024"/>
    <n v="4"/>
    <x v="5"/>
    <x v="1"/>
    <x v="2"/>
    <s v="HR Revenue - North"/>
    <n v="4461.74"/>
    <n v="4250.79"/>
  </r>
  <r>
    <x v="153"/>
    <n v="10"/>
    <n v="2024"/>
    <n v="4"/>
    <x v="0"/>
    <x v="0"/>
    <x v="3"/>
    <s v="Services Expense - South"/>
    <n v="-21451.08"/>
    <m/>
  </r>
  <r>
    <x v="153"/>
    <n v="10"/>
    <n v="2024"/>
    <n v="4"/>
    <x v="3"/>
    <x v="0"/>
    <x v="3"/>
    <s v="Subscriptions Expense - South"/>
    <n v="-36369.81"/>
    <m/>
  </r>
  <r>
    <x v="154"/>
    <n v="10"/>
    <n v="2024"/>
    <n v="4"/>
    <x v="6"/>
    <x v="0"/>
    <x v="1"/>
    <s v="Sales Expense - West"/>
    <n v="-12043.43"/>
    <m/>
  </r>
  <r>
    <x v="154"/>
    <n v="10"/>
    <n v="2024"/>
    <n v="4"/>
    <x v="5"/>
    <x v="0"/>
    <x v="1"/>
    <s v="HR Expense - West"/>
    <n v="-3799"/>
    <m/>
  </r>
  <r>
    <x v="155"/>
    <n v="10"/>
    <n v="2024"/>
    <n v="4"/>
    <x v="7"/>
    <x v="0"/>
    <x v="0"/>
    <s v="Operations Expense - East"/>
    <n v="-18139.400000000001"/>
    <m/>
  </r>
  <r>
    <x v="155"/>
    <n v="10"/>
    <n v="2024"/>
    <n v="4"/>
    <x v="4"/>
    <x v="0"/>
    <x v="3"/>
    <s v="Marketing Expense - South"/>
    <n v="-14216.5"/>
    <m/>
  </r>
  <r>
    <x v="156"/>
    <n v="10"/>
    <n v="2024"/>
    <n v="4"/>
    <x v="1"/>
    <x v="0"/>
    <x v="0"/>
    <s v="R&amp;D Expense - East"/>
    <n v="-17938.95"/>
    <m/>
  </r>
  <r>
    <x v="156"/>
    <n v="10"/>
    <n v="2024"/>
    <n v="4"/>
    <x v="5"/>
    <x v="1"/>
    <x v="1"/>
    <s v="HR Revenue - West"/>
    <n v="6220.47"/>
    <n v="5989.42"/>
  </r>
  <r>
    <x v="157"/>
    <n v="10"/>
    <n v="2024"/>
    <n v="4"/>
    <x v="4"/>
    <x v="1"/>
    <x v="1"/>
    <s v="Marketing Revenue - West"/>
    <n v="10203.69"/>
    <n v="10800.07"/>
  </r>
  <r>
    <x v="158"/>
    <n v="10"/>
    <n v="2024"/>
    <n v="4"/>
    <x v="2"/>
    <x v="0"/>
    <x v="1"/>
    <s v="G&amp;A Expense - West"/>
    <n v="-7587.96"/>
    <m/>
  </r>
  <r>
    <x v="158"/>
    <n v="10"/>
    <n v="2024"/>
    <n v="4"/>
    <x v="4"/>
    <x v="1"/>
    <x v="2"/>
    <s v="Marketing Revenue - North"/>
    <n v="10816.04"/>
    <n v="11887.26"/>
  </r>
  <r>
    <x v="158"/>
    <n v="10"/>
    <n v="2024"/>
    <n v="4"/>
    <x v="3"/>
    <x v="1"/>
    <x v="3"/>
    <s v="Subscriptions Revenue - South"/>
    <n v="25312.6"/>
    <n v="27178.61"/>
  </r>
  <r>
    <x v="159"/>
    <n v="11"/>
    <n v="2024"/>
    <n v="4"/>
    <x v="5"/>
    <x v="1"/>
    <x v="1"/>
    <s v="HR Revenue - West"/>
    <n v="5593.12"/>
    <n v="5957.53"/>
  </r>
  <r>
    <x v="160"/>
    <n v="11"/>
    <n v="2024"/>
    <n v="4"/>
    <x v="2"/>
    <x v="1"/>
    <x v="1"/>
    <s v="G&amp;A Revenue - West"/>
    <n v="7014.54"/>
    <n v="6557.68"/>
  </r>
  <r>
    <x v="160"/>
    <n v="11"/>
    <n v="2024"/>
    <n v="4"/>
    <x v="6"/>
    <x v="0"/>
    <x v="2"/>
    <s v="Sales Expense - North"/>
    <n v="-38821.93"/>
    <m/>
  </r>
  <r>
    <x v="160"/>
    <n v="11"/>
    <n v="2024"/>
    <n v="4"/>
    <x v="5"/>
    <x v="1"/>
    <x v="2"/>
    <s v="HR Revenue - North"/>
    <n v="5513.75"/>
    <n v="5511.46"/>
  </r>
  <r>
    <x v="161"/>
    <n v="11"/>
    <n v="2024"/>
    <n v="4"/>
    <x v="7"/>
    <x v="1"/>
    <x v="2"/>
    <s v="Operations Revenue - North"/>
    <n v="20874.830000000002"/>
    <n v="20279.82"/>
  </r>
  <r>
    <x v="162"/>
    <n v="11"/>
    <n v="2024"/>
    <n v="4"/>
    <x v="5"/>
    <x v="0"/>
    <x v="0"/>
    <s v="HR Expense - East"/>
    <n v="-2508.5300000000002"/>
    <m/>
  </r>
  <r>
    <x v="162"/>
    <n v="11"/>
    <n v="2024"/>
    <n v="4"/>
    <x v="0"/>
    <x v="0"/>
    <x v="1"/>
    <s v="Services Expense - West"/>
    <n v="-29554.91"/>
    <m/>
  </r>
  <r>
    <x v="162"/>
    <n v="11"/>
    <n v="2024"/>
    <n v="4"/>
    <x v="2"/>
    <x v="0"/>
    <x v="3"/>
    <s v="G&amp;A Expense - South"/>
    <n v="-3551.05"/>
    <m/>
  </r>
  <r>
    <x v="163"/>
    <n v="11"/>
    <n v="2024"/>
    <n v="4"/>
    <x v="2"/>
    <x v="1"/>
    <x v="0"/>
    <s v="G&amp;A Revenue - East"/>
    <n v="7546.83"/>
    <n v="7269.23"/>
  </r>
  <r>
    <x v="163"/>
    <n v="11"/>
    <n v="2024"/>
    <n v="4"/>
    <x v="0"/>
    <x v="1"/>
    <x v="1"/>
    <s v="Services Revenue - West"/>
    <n v="28055.85"/>
    <n v="29800.36"/>
  </r>
  <r>
    <x v="164"/>
    <n v="11"/>
    <n v="2024"/>
    <n v="4"/>
    <x v="6"/>
    <x v="1"/>
    <x v="0"/>
    <s v="Sales Revenue - East"/>
    <n v="28105.24"/>
    <n v="29061.5"/>
  </r>
  <r>
    <x v="165"/>
    <n v="11"/>
    <n v="2024"/>
    <n v="4"/>
    <x v="4"/>
    <x v="0"/>
    <x v="0"/>
    <s v="Marketing Expense - East"/>
    <n v="-7150.62"/>
    <m/>
  </r>
  <r>
    <x v="165"/>
    <n v="11"/>
    <n v="2024"/>
    <n v="4"/>
    <x v="5"/>
    <x v="0"/>
    <x v="1"/>
    <s v="HR Expense - West"/>
    <n v="-8020.96"/>
    <m/>
  </r>
  <r>
    <x v="165"/>
    <n v="11"/>
    <n v="2024"/>
    <n v="4"/>
    <x v="0"/>
    <x v="0"/>
    <x v="3"/>
    <s v="Services Expense - South"/>
    <n v="-14256.68"/>
    <m/>
  </r>
  <r>
    <x v="166"/>
    <n v="11"/>
    <n v="2024"/>
    <n v="4"/>
    <x v="7"/>
    <x v="0"/>
    <x v="0"/>
    <s v="Operations Expense - East"/>
    <n v="-19729.55"/>
    <m/>
  </r>
  <r>
    <x v="167"/>
    <n v="11"/>
    <n v="2024"/>
    <n v="4"/>
    <x v="5"/>
    <x v="1"/>
    <x v="3"/>
    <s v="HR Revenue - South"/>
    <n v="4668"/>
    <n v="4631.5200000000004"/>
  </r>
  <r>
    <x v="168"/>
    <n v="11"/>
    <n v="2024"/>
    <n v="4"/>
    <x v="0"/>
    <x v="1"/>
    <x v="0"/>
    <s v="Services Revenue - East"/>
    <n v="27935.14"/>
    <n v="29995.16"/>
  </r>
  <r>
    <x v="168"/>
    <n v="11"/>
    <n v="2024"/>
    <n v="4"/>
    <x v="3"/>
    <x v="1"/>
    <x v="2"/>
    <s v="Subscriptions Revenue - North"/>
    <n v="22870.16"/>
    <n v="23063.68"/>
  </r>
  <r>
    <x v="168"/>
    <n v="11"/>
    <n v="2024"/>
    <n v="4"/>
    <x v="2"/>
    <x v="0"/>
    <x v="2"/>
    <s v="G&amp;A Expense - North"/>
    <n v="-6250.85"/>
    <m/>
  </r>
  <r>
    <x v="168"/>
    <n v="11"/>
    <n v="2024"/>
    <n v="4"/>
    <x v="1"/>
    <x v="1"/>
    <x v="3"/>
    <s v="R&amp;D Revenue - South"/>
    <n v="12723.88"/>
    <n v="13227.12"/>
  </r>
  <r>
    <x v="169"/>
    <n v="11"/>
    <n v="2024"/>
    <n v="4"/>
    <x v="3"/>
    <x v="1"/>
    <x v="1"/>
    <s v="Subscriptions Revenue - West"/>
    <n v="31206.400000000001"/>
    <n v="29341.74"/>
  </r>
  <r>
    <x v="169"/>
    <n v="11"/>
    <n v="2024"/>
    <n v="4"/>
    <x v="0"/>
    <x v="1"/>
    <x v="3"/>
    <s v="Services Revenue - South"/>
    <n v="20309.939999999999"/>
    <n v="20622.759999999998"/>
  </r>
  <r>
    <x v="169"/>
    <n v="11"/>
    <n v="2024"/>
    <n v="4"/>
    <x v="3"/>
    <x v="1"/>
    <x v="3"/>
    <s v="Subscriptions Revenue - South"/>
    <n v="23837"/>
    <n v="22249.55"/>
  </r>
  <r>
    <x v="169"/>
    <n v="11"/>
    <n v="2024"/>
    <n v="4"/>
    <x v="7"/>
    <x v="1"/>
    <x v="3"/>
    <s v="Operations Revenue - South"/>
    <n v="17393.62"/>
    <n v="19019.7"/>
  </r>
  <r>
    <x v="170"/>
    <n v="11"/>
    <n v="2024"/>
    <n v="4"/>
    <x v="4"/>
    <x v="1"/>
    <x v="0"/>
    <s v="Marketing Revenue - East"/>
    <n v="12266.14"/>
    <n v="12374.4"/>
  </r>
  <r>
    <x v="170"/>
    <n v="11"/>
    <n v="2024"/>
    <n v="4"/>
    <x v="1"/>
    <x v="0"/>
    <x v="0"/>
    <s v="R&amp;D Expense - East"/>
    <n v="-7889.02"/>
    <m/>
  </r>
  <r>
    <x v="170"/>
    <n v="11"/>
    <n v="2024"/>
    <n v="4"/>
    <x v="1"/>
    <x v="1"/>
    <x v="1"/>
    <s v="R&amp;D Revenue - West"/>
    <n v="14879.72"/>
    <n v="14244.46"/>
  </r>
  <r>
    <x v="170"/>
    <n v="11"/>
    <n v="2024"/>
    <n v="4"/>
    <x v="6"/>
    <x v="1"/>
    <x v="2"/>
    <s v="Sales Revenue - North"/>
    <n v="32614.43"/>
    <n v="35711.599999999999"/>
  </r>
  <r>
    <x v="170"/>
    <n v="11"/>
    <n v="2024"/>
    <n v="4"/>
    <x v="0"/>
    <x v="1"/>
    <x v="2"/>
    <s v="Services Revenue - North"/>
    <n v="24361.15"/>
    <n v="22697.5"/>
  </r>
  <r>
    <x v="170"/>
    <n v="11"/>
    <n v="2024"/>
    <n v="4"/>
    <x v="3"/>
    <x v="0"/>
    <x v="2"/>
    <s v="Subscriptions Expense - North"/>
    <n v="-17108.689999999999"/>
    <m/>
  </r>
  <r>
    <x v="170"/>
    <n v="11"/>
    <n v="2024"/>
    <n v="4"/>
    <x v="1"/>
    <x v="0"/>
    <x v="3"/>
    <s v="R&amp;D Expense - South"/>
    <n v="-6497.91"/>
    <m/>
  </r>
  <r>
    <x v="171"/>
    <n v="11"/>
    <n v="2024"/>
    <n v="4"/>
    <x v="6"/>
    <x v="1"/>
    <x v="1"/>
    <s v="Sales Revenue - West"/>
    <n v="26538.21"/>
    <n v="25299.91"/>
  </r>
  <r>
    <x v="171"/>
    <n v="11"/>
    <n v="2024"/>
    <n v="4"/>
    <x v="6"/>
    <x v="0"/>
    <x v="1"/>
    <s v="Sales Expense - West"/>
    <n v="-8949.5400000000009"/>
    <m/>
  </r>
  <r>
    <x v="171"/>
    <n v="11"/>
    <n v="2024"/>
    <n v="4"/>
    <x v="7"/>
    <x v="1"/>
    <x v="1"/>
    <s v="Operations Revenue - West"/>
    <n v="22052.27"/>
    <n v="20849.84"/>
  </r>
  <r>
    <x v="171"/>
    <n v="11"/>
    <n v="2024"/>
    <n v="4"/>
    <x v="1"/>
    <x v="0"/>
    <x v="1"/>
    <s v="R&amp;D Expense - West"/>
    <n v="-16583.990000000002"/>
    <m/>
  </r>
  <r>
    <x v="172"/>
    <n v="11"/>
    <n v="2024"/>
    <n v="4"/>
    <x v="5"/>
    <x v="0"/>
    <x v="3"/>
    <s v="HR Expense - South"/>
    <n v="-2334.6"/>
    <m/>
  </r>
  <r>
    <x v="172"/>
    <n v="11"/>
    <n v="2024"/>
    <n v="4"/>
    <x v="2"/>
    <x v="1"/>
    <x v="3"/>
    <s v="G&amp;A Revenue - South"/>
    <n v="5368.81"/>
    <n v="5284.64"/>
  </r>
  <r>
    <x v="173"/>
    <n v="11"/>
    <n v="2024"/>
    <n v="4"/>
    <x v="3"/>
    <x v="1"/>
    <x v="0"/>
    <s v="Subscriptions Revenue - East"/>
    <n v="33990.480000000003"/>
    <n v="35501.980000000003"/>
  </r>
  <r>
    <x v="173"/>
    <n v="11"/>
    <n v="2024"/>
    <n v="4"/>
    <x v="4"/>
    <x v="1"/>
    <x v="2"/>
    <s v="Marketing Revenue - North"/>
    <n v="9665.0499999999993"/>
    <n v="10179.31"/>
  </r>
  <r>
    <x v="174"/>
    <n v="11"/>
    <n v="2024"/>
    <n v="4"/>
    <x v="6"/>
    <x v="0"/>
    <x v="0"/>
    <s v="Sales Expense - East"/>
    <n v="-34237.46"/>
    <m/>
  </r>
  <r>
    <x v="174"/>
    <n v="11"/>
    <n v="2024"/>
    <n v="4"/>
    <x v="5"/>
    <x v="1"/>
    <x v="0"/>
    <s v="HR Revenue - East"/>
    <n v="4735.3"/>
    <n v="4816.16"/>
  </r>
  <r>
    <x v="174"/>
    <n v="11"/>
    <n v="2024"/>
    <n v="4"/>
    <x v="4"/>
    <x v="1"/>
    <x v="3"/>
    <s v="Marketing Revenue - South"/>
    <n v="9749.23"/>
    <n v="10193.14"/>
  </r>
  <r>
    <x v="175"/>
    <n v="11"/>
    <n v="2024"/>
    <n v="4"/>
    <x v="7"/>
    <x v="1"/>
    <x v="0"/>
    <s v="Operations Revenue - East"/>
    <n v="16487.400000000001"/>
    <n v="15790.07"/>
  </r>
  <r>
    <x v="175"/>
    <n v="11"/>
    <n v="2024"/>
    <n v="4"/>
    <x v="1"/>
    <x v="0"/>
    <x v="2"/>
    <s v="R&amp;D Expense - North"/>
    <n v="-7945.59"/>
    <m/>
  </r>
  <r>
    <x v="175"/>
    <n v="11"/>
    <n v="2024"/>
    <n v="4"/>
    <x v="6"/>
    <x v="1"/>
    <x v="3"/>
    <s v="Sales Revenue - South"/>
    <n v="25453.35"/>
    <n v="27766.98"/>
  </r>
  <r>
    <x v="176"/>
    <n v="11"/>
    <n v="2024"/>
    <n v="4"/>
    <x v="0"/>
    <x v="0"/>
    <x v="0"/>
    <s v="Services Expense - East"/>
    <n v="-32983.81"/>
    <m/>
  </r>
  <r>
    <x v="176"/>
    <n v="11"/>
    <n v="2024"/>
    <n v="4"/>
    <x v="3"/>
    <x v="0"/>
    <x v="0"/>
    <s v="Subscriptions Expense - East"/>
    <n v="-19873.93"/>
    <m/>
  </r>
  <r>
    <x v="176"/>
    <n v="11"/>
    <n v="2024"/>
    <n v="4"/>
    <x v="2"/>
    <x v="1"/>
    <x v="2"/>
    <s v="G&amp;A Revenue - North"/>
    <n v="5097.3100000000004"/>
    <n v="5594.5"/>
  </r>
  <r>
    <x v="177"/>
    <n v="11"/>
    <n v="2024"/>
    <n v="4"/>
    <x v="1"/>
    <x v="1"/>
    <x v="0"/>
    <s v="R&amp;D Revenue - East"/>
    <n v="11429.33"/>
    <n v="11615.36"/>
  </r>
  <r>
    <x v="178"/>
    <n v="11"/>
    <n v="2024"/>
    <n v="4"/>
    <x v="6"/>
    <x v="0"/>
    <x v="3"/>
    <s v="Sales Expense - South"/>
    <n v="-12839.56"/>
    <m/>
  </r>
  <r>
    <x v="179"/>
    <n v="11"/>
    <n v="2024"/>
    <n v="4"/>
    <x v="7"/>
    <x v="0"/>
    <x v="1"/>
    <s v="Operations Expense - West"/>
    <n v="-14821.22"/>
    <m/>
  </r>
  <r>
    <x v="179"/>
    <n v="11"/>
    <n v="2024"/>
    <n v="4"/>
    <x v="2"/>
    <x v="0"/>
    <x v="1"/>
    <s v="G&amp;A Expense - West"/>
    <n v="-4414.6899999999996"/>
    <m/>
  </r>
  <r>
    <x v="180"/>
    <n v="11"/>
    <n v="2024"/>
    <n v="4"/>
    <x v="2"/>
    <x v="0"/>
    <x v="0"/>
    <s v="G&amp;A Expense - East"/>
    <n v="-10298.52"/>
    <m/>
  </r>
  <r>
    <x v="180"/>
    <n v="11"/>
    <n v="2024"/>
    <n v="4"/>
    <x v="1"/>
    <x v="1"/>
    <x v="2"/>
    <s v="R&amp;D Revenue - North"/>
    <n v="14441.21"/>
    <n v="15551.4"/>
  </r>
  <r>
    <x v="181"/>
    <n v="11"/>
    <n v="2024"/>
    <n v="4"/>
    <x v="5"/>
    <x v="0"/>
    <x v="2"/>
    <s v="HR Expense - North"/>
    <n v="-4322.78"/>
    <m/>
  </r>
  <r>
    <x v="182"/>
    <n v="11"/>
    <n v="2024"/>
    <n v="4"/>
    <x v="4"/>
    <x v="1"/>
    <x v="1"/>
    <s v="Marketing Revenue - West"/>
    <n v="10523.23"/>
    <n v="11013.99"/>
  </r>
  <r>
    <x v="182"/>
    <n v="11"/>
    <n v="2024"/>
    <n v="4"/>
    <x v="7"/>
    <x v="0"/>
    <x v="3"/>
    <s v="Operations Expense - South"/>
    <n v="-11602.44"/>
    <m/>
  </r>
  <r>
    <x v="183"/>
    <n v="11"/>
    <n v="2024"/>
    <n v="4"/>
    <x v="4"/>
    <x v="0"/>
    <x v="2"/>
    <s v="Marketing Expense - North"/>
    <n v="-12159.19"/>
    <m/>
  </r>
  <r>
    <x v="184"/>
    <n v="11"/>
    <n v="2024"/>
    <n v="4"/>
    <x v="4"/>
    <x v="0"/>
    <x v="3"/>
    <s v="Marketing Expense - South"/>
    <n v="-13683.34"/>
    <m/>
  </r>
  <r>
    <x v="185"/>
    <n v="11"/>
    <n v="2024"/>
    <n v="4"/>
    <x v="3"/>
    <x v="0"/>
    <x v="1"/>
    <s v="Subscriptions Expense - West"/>
    <n v="-10683.81"/>
    <m/>
  </r>
  <r>
    <x v="185"/>
    <n v="11"/>
    <n v="2024"/>
    <n v="4"/>
    <x v="4"/>
    <x v="0"/>
    <x v="1"/>
    <s v="Marketing Expense - West"/>
    <n v="-15778.179999999998"/>
    <m/>
  </r>
  <r>
    <x v="185"/>
    <n v="11"/>
    <n v="2024"/>
    <n v="4"/>
    <x v="7"/>
    <x v="0"/>
    <x v="2"/>
    <s v="Operations Expense - North"/>
    <n v="-18610.439999999999"/>
    <m/>
  </r>
  <r>
    <x v="185"/>
    <n v="11"/>
    <n v="2024"/>
    <n v="4"/>
    <x v="3"/>
    <x v="0"/>
    <x v="3"/>
    <s v="Subscriptions Expense - South"/>
    <n v="-11659.8"/>
    <m/>
  </r>
  <r>
    <x v="186"/>
    <n v="11"/>
    <n v="2024"/>
    <n v="4"/>
    <x v="0"/>
    <x v="0"/>
    <x v="2"/>
    <s v="Services Expense - North"/>
    <n v="-35843.440000000002"/>
    <m/>
  </r>
  <r>
    <x v="187"/>
    <n v="12"/>
    <n v="2024"/>
    <n v="4"/>
    <x v="3"/>
    <x v="1"/>
    <x v="2"/>
    <s v="Subscriptions Revenue - North"/>
    <n v="25627.439999999999"/>
    <n v="27839.41"/>
  </r>
  <r>
    <x v="188"/>
    <n v="12"/>
    <n v="2024"/>
    <n v="4"/>
    <x v="1"/>
    <x v="1"/>
    <x v="0"/>
    <s v="R&amp;D Revenue - East"/>
    <n v="13155.92"/>
    <n v="13943.92"/>
  </r>
  <r>
    <x v="188"/>
    <n v="12"/>
    <n v="2024"/>
    <n v="4"/>
    <x v="5"/>
    <x v="0"/>
    <x v="1"/>
    <s v="HR Expense - West"/>
    <n v="-5289.36"/>
    <m/>
  </r>
  <r>
    <x v="188"/>
    <n v="12"/>
    <n v="2024"/>
    <n v="4"/>
    <x v="4"/>
    <x v="0"/>
    <x v="3"/>
    <s v="Marketing Expense - South"/>
    <n v="-15079.63"/>
    <m/>
  </r>
  <r>
    <x v="189"/>
    <n v="12"/>
    <n v="2024"/>
    <n v="4"/>
    <x v="2"/>
    <x v="1"/>
    <x v="1"/>
    <s v="G&amp;A Revenue - West"/>
    <n v="7089.4"/>
    <n v="6921.64"/>
  </r>
  <r>
    <x v="189"/>
    <n v="12"/>
    <n v="2024"/>
    <n v="4"/>
    <x v="3"/>
    <x v="0"/>
    <x v="2"/>
    <s v="Subscriptions Expense - North"/>
    <n v="-33857.78"/>
    <m/>
  </r>
  <r>
    <x v="189"/>
    <n v="12"/>
    <n v="2024"/>
    <n v="4"/>
    <x v="1"/>
    <x v="1"/>
    <x v="2"/>
    <s v="R&amp;D Revenue - North"/>
    <n v="15932.59"/>
    <n v="17007.57"/>
  </r>
  <r>
    <x v="189"/>
    <n v="12"/>
    <n v="2024"/>
    <n v="4"/>
    <x v="1"/>
    <x v="0"/>
    <x v="3"/>
    <s v="R&amp;D Expense - South"/>
    <n v="-11889.49"/>
    <m/>
  </r>
  <r>
    <x v="190"/>
    <n v="12"/>
    <n v="2024"/>
    <n v="4"/>
    <x v="6"/>
    <x v="1"/>
    <x v="0"/>
    <s v="Sales Revenue - East"/>
    <n v="29899.13"/>
    <n v="29906.25"/>
  </r>
  <r>
    <x v="190"/>
    <n v="12"/>
    <n v="2024"/>
    <n v="4"/>
    <x v="7"/>
    <x v="0"/>
    <x v="0"/>
    <s v="Operations Expense - East"/>
    <n v="-15004"/>
    <m/>
  </r>
  <r>
    <x v="190"/>
    <n v="12"/>
    <n v="2024"/>
    <n v="4"/>
    <x v="2"/>
    <x v="0"/>
    <x v="0"/>
    <s v="G&amp;A Expense - East"/>
    <n v="-9561.66"/>
    <m/>
  </r>
  <r>
    <x v="191"/>
    <n v="12"/>
    <n v="2024"/>
    <n v="4"/>
    <x v="2"/>
    <x v="1"/>
    <x v="3"/>
    <s v="G&amp;A Revenue - South"/>
    <n v="7668.18"/>
    <n v="7690.23"/>
  </r>
  <r>
    <x v="192"/>
    <n v="12"/>
    <n v="2024"/>
    <n v="4"/>
    <x v="1"/>
    <x v="0"/>
    <x v="2"/>
    <s v="R&amp;D Expense - North"/>
    <n v="-12285.65"/>
    <m/>
  </r>
  <r>
    <x v="193"/>
    <n v="12"/>
    <n v="2024"/>
    <n v="4"/>
    <x v="3"/>
    <x v="0"/>
    <x v="3"/>
    <s v="Subscriptions Expense - South"/>
    <n v="-9226.2000000000007"/>
    <m/>
  </r>
  <r>
    <x v="194"/>
    <n v="12"/>
    <n v="2024"/>
    <n v="4"/>
    <x v="7"/>
    <x v="0"/>
    <x v="1"/>
    <s v="Operations Expense - West"/>
    <n v="-15629.24"/>
    <m/>
  </r>
  <r>
    <x v="194"/>
    <n v="12"/>
    <n v="2024"/>
    <n v="4"/>
    <x v="7"/>
    <x v="1"/>
    <x v="2"/>
    <s v="Operations Revenue - North"/>
    <n v="22647"/>
    <n v="23884.58"/>
  </r>
  <r>
    <x v="194"/>
    <n v="12"/>
    <n v="2024"/>
    <n v="4"/>
    <x v="6"/>
    <x v="0"/>
    <x v="3"/>
    <s v="Sales Expense - South"/>
    <n v="-33383.56"/>
    <m/>
  </r>
  <r>
    <x v="195"/>
    <n v="12"/>
    <n v="2024"/>
    <n v="4"/>
    <x v="4"/>
    <x v="1"/>
    <x v="1"/>
    <s v="Marketing Revenue - West"/>
    <n v="9344.83"/>
    <n v="10269.219999999999"/>
  </r>
  <r>
    <x v="195"/>
    <n v="12"/>
    <n v="2024"/>
    <n v="4"/>
    <x v="3"/>
    <x v="1"/>
    <x v="3"/>
    <s v="Subscriptions Revenue - South"/>
    <n v="22968.44"/>
    <n v="23381.97"/>
  </r>
  <r>
    <x v="196"/>
    <n v="12"/>
    <n v="2024"/>
    <n v="4"/>
    <x v="2"/>
    <x v="1"/>
    <x v="0"/>
    <s v="G&amp;A Revenue - East"/>
    <n v="8937.0400000000009"/>
    <n v="9789.7800000000007"/>
  </r>
  <r>
    <x v="196"/>
    <n v="12"/>
    <n v="2024"/>
    <n v="4"/>
    <x v="5"/>
    <x v="0"/>
    <x v="3"/>
    <s v="HR Expense - South"/>
    <n v="-8065.2"/>
    <m/>
  </r>
  <r>
    <x v="197"/>
    <n v="12"/>
    <n v="2024"/>
    <n v="4"/>
    <x v="6"/>
    <x v="0"/>
    <x v="2"/>
    <s v="Sales Expense - North"/>
    <n v="-14971.96"/>
    <m/>
  </r>
  <r>
    <x v="198"/>
    <n v="12"/>
    <n v="2024"/>
    <n v="4"/>
    <x v="4"/>
    <x v="0"/>
    <x v="1"/>
    <s v="Marketing Expense - West"/>
    <n v="-5678.18"/>
    <m/>
  </r>
  <r>
    <x v="198"/>
    <n v="12"/>
    <n v="2024"/>
    <n v="4"/>
    <x v="1"/>
    <x v="1"/>
    <x v="3"/>
    <s v="R&amp;D Revenue - South"/>
    <n v="10549.44"/>
    <n v="11301.88"/>
  </r>
  <r>
    <x v="199"/>
    <n v="12"/>
    <n v="2024"/>
    <n v="4"/>
    <x v="4"/>
    <x v="0"/>
    <x v="0"/>
    <s v="Marketing Expense - East"/>
    <n v="-6398.34"/>
    <m/>
  </r>
  <r>
    <x v="199"/>
    <n v="12"/>
    <n v="2024"/>
    <n v="4"/>
    <x v="4"/>
    <x v="0"/>
    <x v="2"/>
    <s v="Marketing Expense - North"/>
    <n v="-12623.18"/>
    <m/>
  </r>
  <r>
    <x v="200"/>
    <n v="12"/>
    <n v="2024"/>
    <n v="4"/>
    <x v="2"/>
    <x v="0"/>
    <x v="1"/>
    <s v="G&amp;A Expense - West"/>
    <n v="-5024.6400000000003"/>
    <m/>
  </r>
  <r>
    <x v="200"/>
    <n v="12"/>
    <n v="2024"/>
    <n v="4"/>
    <x v="6"/>
    <x v="1"/>
    <x v="2"/>
    <s v="Sales Revenue - North"/>
    <n v="29026.35"/>
    <n v="27573.34"/>
  </r>
  <r>
    <x v="200"/>
    <n v="12"/>
    <n v="2024"/>
    <n v="4"/>
    <x v="5"/>
    <x v="0"/>
    <x v="2"/>
    <s v="HR Expense - North"/>
    <n v="-6527.33"/>
    <m/>
  </r>
  <r>
    <x v="200"/>
    <n v="12"/>
    <n v="2024"/>
    <n v="4"/>
    <x v="0"/>
    <x v="1"/>
    <x v="3"/>
    <s v="Services Revenue - South"/>
    <n v="23875.279999999999"/>
    <n v="24950.09"/>
  </r>
  <r>
    <x v="200"/>
    <n v="12"/>
    <n v="2024"/>
    <n v="4"/>
    <x v="5"/>
    <x v="1"/>
    <x v="3"/>
    <s v="HR Revenue - South"/>
    <n v="6029"/>
    <n v="5887.2"/>
  </r>
  <r>
    <x v="201"/>
    <n v="12"/>
    <n v="2024"/>
    <n v="4"/>
    <x v="4"/>
    <x v="1"/>
    <x v="2"/>
    <s v="Marketing Revenue - North"/>
    <n v="8512.89"/>
    <n v="8409.65"/>
  </r>
  <r>
    <x v="201"/>
    <n v="12"/>
    <n v="2024"/>
    <n v="4"/>
    <x v="2"/>
    <x v="1"/>
    <x v="2"/>
    <s v="G&amp;A Revenue - North"/>
    <n v="6378.83"/>
    <n v="5940.59"/>
  </r>
  <r>
    <x v="201"/>
    <n v="12"/>
    <n v="2024"/>
    <n v="4"/>
    <x v="2"/>
    <x v="0"/>
    <x v="2"/>
    <s v="G&amp;A Expense - North"/>
    <n v="-3153.97"/>
    <m/>
  </r>
  <r>
    <x v="201"/>
    <n v="12"/>
    <n v="2024"/>
    <n v="4"/>
    <x v="7"/>
    <x v="1"/>
    <x v="3"/>
    <s v="Operations Revenue - South"/>
    <n v="17144"/>
    <n v="17693.71"/>
  </r>
  <r>
    <x v="202"/>
    <n v="12"/>
    <n v="2024"/>
    <n v="4"/>
    <x v="3"/>
    <x v="0"/>
    <x v="0"/>
    <s v="Subscriptions Expense - East"/>
    <n v="-43379.39"/>
    <m/>
  </r>
  <r>
    <x v="202"/>
    <n v="12"/>
    <n v="2024"/>
    <n v="4"/>
    <x v="4"/>
    <x v="1"/>
    <x v="0"/>
    <s v="Marketing Revenue - East"/>
    <n v="11387.27"/>
    <n v="11414.04"/>
  </r>
  <r>
    <x v="202"/>
    <n v="12"/>
    <n v="2024"/>
    <n v="4"/>
    <x v="5"/>
    <x v="0"/>
    <x v="0"/>
    <s v="HR Expense - East"/>
    <n v="-10479.950000000001"/>
    <m/>
  </r>
  <r>
    <x v="202"/>
    <n v="12"/>
    <n v="2024"/>
    <n v="4"/>
    <x v="1"/>
    <x v="0"/>
    <x v="0"/>
    <s v="R&amp;D Expense - East"/>
    <n v="-20194.53"/>
    <m/>
  </r>
  <r>
    <x v="202"/>
    <n v="12"/>
    <n v="2024"/>
    <n v="4"/>
    <x v="6"/>
    <x v="1"/>
    <x v="3"/>
    <s v="Sales Revenue - South"/>
    <n v="31372.31"/>
    <n v="32824.11"/>
  </r>
  <r>
    <x v="203"/>
    <n v="12"/>
    <n v="2024"/>
    <n v="4"/>
    <x v="0"/>
    <x v="0"/>
    <x v="0"/>
    <s v="Services Expense - East"/>
    <n v="-10152.92"/>
    <m/>
  </r>
  <r>
    <x v="203"/>
    <n v="12"/>
    <n v="2024"/>
    <n v="4"/>
    <x v="4"/>
    <x v="1"/>
    <x v="3"/>
    <s v="Marketing Revenue - South"/>
    <n v="10077.459999999999"/>
    <n v="9894.68"/>
  </r>
  <r>
    <x v="204"/>
    <n v="12"/>
    <n v="2024"/>
    <n v="4"/>
    <x v="3"/>
    <x v="0"/>
    <x v="1"/>
    <s v="Subscriptions Expense - West"/>
    <n v="-37415.32"/>
    <m/>
  </r>
  <r>
    <x v="204"/>
    <n v="12"/>
    <n v="2024"/>
    <n v="4"/>
    <x v="1"/>
    <x v="0"/>
    <x v="1"/>
    <s v="R&amp;D Expense - West"/>
    <n v="-7533.22"/>
    <m/>
  </r>
  <r>
    <x v="204"/>
    <n v="12"/>
    <n v="2024"/>
    <n v="4"/>
    <x v="0"/>
    <x v="1"/>
    <x v="2"/>
    <s v="Services Revenue - North"/>
    <n v="26476.32"/>
    <n v="27606.48"/>
  </r>
  <r>
    <x v="205"/>
    <n v="12"/>
    <n v="2024"/>
    <n v="4"/>
    <x v="7"/>
    <x v="1"/>
    <x v="1"/>
    <s v="Operations Revenue - West"/>
    <n v="17695.12"/>
    <n v="17434.52"/>
  </r>
  <r>
    <x v="206"/>
    <n v="12"/>
    <n v="2024"/>
    <n v="4"/>
    <x v="0"/>
    <x v="0"/>
    <x v="2"/>
    <s v="Services Expense - North"/>
    <n v="-10547.54"/>
    <m/>
  </r>
  <r>
    <x v="206"/>
    <n v="12"/>
    <n v="2024"/>
    <n v="4"/>
    <x v="7"/>
    <x v="0"/>
    <x v="2"/>
    <s v="Operations Expense - North"/>
    <n v="-34282.559999999998"/>
    <m/>
  </r>
  <r>
    <x v="207"/>
    <n v="12"/>
    <n v="2024"/>
    <n v="4"/>
    <x v="3"/>
    <x v="1"/>
    <x v="0"/>
    <s v="Subscriptions Revenue - East"/>
    <n v="29532.67"/>
    <n v="32085.279999999999"/>
  </r>
  <r>
    <x v="207"/>
    <n v="12"/>
    <n v="2024"/>
    <n v="4"/>
    <x v="7"/>
    <x v="1"/>
    <x v="0"/>
    <s v="Operations Revenue - East"/>
    <n v="17574.78"/>
    <n v="17135.939999999999"/>
  </r>
  <r>
    <x v="207"/>
    <n v="12"/>
    <n v="2024"/>
    <n v="4"/>
    <x v="6"/>
    <x v="0"/>
    <x v="1"/>
    <s v="Sales Expense - West"/>
    <n v="-31438.240000000002"/>
    <m/>
  </r>
  <r>
    <x v="207"/>
    <n v="12"/>
    <n v="2024"/>
    <n v="4"/>
    <x v="0"/>
    <x v="0"/>
    <x v="3"/>
    <s v="Services Expense - South"/>
    <n v="-17645.11"/>
    <m/>
  </r>
  <r>
    <x v="208"/>
    <n v="12"/>
    <n v="2024"/>
    <n v="4"/>
    <x v="3"/>
    <x v="1"/>
    <x v="1"/>
    <s v="Subscriptions Revenue - West"/>
    <n v="34506.660000000003"/>
    <n v="35406.480000000003"/>
  </r>
  <r>
    <x v="208"/>
    <n v="12"/>
    <n v="2024"/>
    <n v="4"/>
    <x v="1"/>
    <x v="1"/>
    <x v="1"/>
    <s v="R&amp;D Revenue - West"/>
    <n v="16888.66"/>
    <n v="18244.57"/>
  </r>
  <r>
    <x v="209"/>
    <n v="12"/>
    <n v="2024"/>
    <n v="4"/>
    <x v="0"/>
    <x v="1"/>
    <x v="1"/>
    <s v="Services Revenue - West"/>
    <n v="31932.93"/>
    <n v="33661.86"/>
  </r>
  <r>
    <x v="210"/>
    <n v="12"/>
    <n v="2024"/>
    <n v="4"/>
    <x v="6"/>
    <x v="0"/>
    <x v="0"/>
    <s v="Sales Expense - East"/>
    <n v="-32608.07"/>
    <m/>
  </r>
  <r>
    <x v="210"/>
    <n v="12"/>
    <n v="2024"/>
    <n v="4"/>
    <x v="0"/>
    <x v="0"/>
    <x v="1"/>
    <s v="Services Expense - West"/>
    <n v="-21091.23"/>
    <m/>
  </r>
  <r>
    <x v="210"/>
    <n v="12"/>
    <n v="2024"/>
    <n v="4"/>
    <x v="5"/>
    <x v="1"/>
    <x v="2"/>
    <s v="HR Revenue - North"/>
    <n v="5724.77"/>
    <n v="6029.6"/>
  </r>
  <r>
    <x v="211"/>
    <n v="12"/>
    <n v="2024"/>
    <n v="4"/>
    <x v="6"/>
    <x v="1"/>
    <x v="1"/>
    <s v="Sales Revenue - West"/>
    <n v="39878.120000000003"/>
    <n v="38945.550000000003"/>
  </r>
  <r>
    <x v="211"/>
    <n v="12"/>
    <n v="2024"/>
    <n v="4"/>
    <x v="7"/>
    <x v="0"/>
    <x v="3"/>
    <s v="Operations Expense - South"/>
    <n v="-18203.400000000001"/>
    <m/>
  </r>
  <r>
    <x v="211"/>
    <n v="12"/>
    <n v="2024"/>
    <n v="4"/>
    <x v="2"/>
    <x v="0"/>
    <x v="3"/>
    <s v="G&amp;A Expense - South"/>
    <n v="-2849.76"/>
    <m/>
  </r>
  <r>
    <x v="212"/>
    <n v="12"/>
    <n v="2024"/>
    <n v="4"/>
    <x v="0"/>
    <x v="1"/>
    <x v="0"/>
    <s v="Services Revenue - East"/>
    <n v="28582.91"/>
    <n v="28715.08"/>
  </r>
  <r>
    <x v="212"/>
    <n v="12"/>
    <n v="2024"/>
    <n v="4"/>
    <x v="5"/>
    <x v="1"/>
    <x v="0"/>
    <s v="HR Revenue - East"/>
    <n v="6956.99"/>
    <n v="6833.89"/>
  </r>
  <r>
    <x v="212"/>
    <n v="12"/>
    <n v="2024"/>
    <n v="4"/>
    <x v="5"/>
    <x v="1"/>
    <x v="1"/>
    <s v="HR Revenue - West"/>
    <n v="6425.86"/>
    <n v="7038.6"/>
  </r>
  <r>
    <x v="213"/>
    <n v="1"/>
    <n v="2025"/>
    <n v="1"/>
    <x v="7"/>
    <x v="0"/>
    <x v="1"/>
    <s v="Operations Expense - West"/>
    <n v="-6408.13"/>
    <m/>
  </r>
  <r>
    <x v="214"/>
    <n v="1"/>
    <n v="2025"/>
    <n v="1"/>
    <x v="0"/>
    <x v="1"/>
    <x v="0"/>
    <s v="Services Revenue - East"/>
    <n v="18123.55"/>
    <n v="17056.28"/>
  </r>
  <r>
    <x v="214"/>
    <n v="1"/>
    <n v="2025"/>
    <n v="1"/>
    <x v="3"/>
    <x v="1"/>
    <x v="1"/>
    <s v="Subscriptions Revenue - West"/>
    <n v="20812.02"/>
    <n v="22286.67"/>
  </r>
  <r>
    <x v="214"/>
    <n v="1"/>
    <n v="2025"/>
    <n v="1"/>
    <x v="1"/>
    <x v="1"/>
    <x v="1"/>
    <s v="R&amp;D Revenue - West"/>
    <n v="13723.33"/>
    <n v="14637.3"/>
  </r>
  <r>
    <x v="215"/>
    <n v="1"/>
    <n v="2025"/>
    <n v="1"/>
    <x v="3"/>
    <x v="1"/>
    <x v="0"/>
    <s v="Subscriptions Revenue - East"/>
    <n v="29823.66"/>
    <n v="28255.18"/>
  </r>
  <r>
    <x v="216"/>
    <n v="1"/>
    <n v="2025"/>
    <n v="1"/>
    <x v="4"/>
    <x v="0"/>
    <x v="1"/>
    <s v="Marketing Expense - West"/>
    <n v="-5245.08"/>
    <m/>
  </r>
  <r>
    <x v="216"/>
    <n v="1"/>
    <n v="2025"/>
    <n v="1"/>
    <x v="1"/>
    <x v="0"/>
    <x v="3"/>
    <s v="R&amp;D Expense - South"/>
    <n v="-5869.36"/>
    <m/>
  </r>
  <r>
    <x v="217"/>
    <n v="1"/>
    <n v="2025"/>
    <n v="1"/>
    <x v="0"/>
    <x v="0"/>
    <x v="0"/>
    <s v="Services Expense - East"/>
    <n v="-27898.77"/>
    <m/>
  </r>
  <r>
    <x v="217"/>
    <n v="1"/>
    <n v="2025"/>
    <n v="1"/>
    <x v="5"/>
    <x v="1"/>
    <x v="0"/>
    <s v="HR Revenue - East"/>
    <n v="4339.8100000000004"/>
    <n v="4653.1499999999996"/>
  </r>
  <r>
    <x v="217"/>
    <n v="1"/>
    <n v="2025"/>
    <n v="1"/>
    <x v="7"/>
    <x v="0"/>
    <x v="2"/>
    <s v="Operations Expense - North"/>
    <n v="-10898.19"/>
    <m/>
  </r>
  <r>
    <x v="218"/>
    <n v="1"/>
    <n v="2025"/>
    <n v="1"/>
    <x v="6"/>
    <x v="0"/>
    <x v="1"/>
    <s v="Sales Expense - West"/>
    <n v="-17584.669999999998"/>
    <m/>
  </r>
  <r>
    <x v="218"/>
    <n v="1"/>
    <n v="2025"/>
    <n v="1"/>
    <x v="4"/>
    <x v="1"/>
    <x v="1"/>
    <s v="Marketing Revenue - West"/>
    <n v="8615.65"/>
    <n v="9209.44"/>
  </r>
  <r>
    <x v="218"/>
    <n v="1"/>
    <n v="2025"/>
    <n v="1"/>
    <x v="2"/>
    <x v="1"/>
    <x v="1"/>
    <s v="G&amp;A Revenue - West"/>
    <n v="5193.09"/>
    <n v="5355.99"/>
  </r>
  <r>
    <x v="218"/>
    <n v="1"/>
    <n v="2025"/>
    <n v="1"/>
    <x v="2"/>
    <x v="0"/>
    <x v="2"/>
    <s v="G&amp;A Expense - North"/>
    <n v="-2919.52"/>
    <m/>
  </r>
  <r>
    <x v="219"/>
    <n v="1"/>
    <n v="2025"/>
    <n v="1"/>
    <x v="6"/>
    <x v="0"/>
    <x v="0"/>
    <s v="Sales Expense - East"/>
    <n v="-15403.87"/>
    <m/>
  </r>
  <r>
    <x v="219"/>
    <n v="1"/>
    <n v="2025"/>
    <n v="1"/>
    <x v="6"/>
    <x v="1"/>
    <x v="3"/>
    <s v="Sales Revenue - South"/>
    <n v="20201.13"/>
    <n v="19971.82"/>
  </r>
  <r>
    <x v="219"/>
    <n v="1"/>
    <n v="2025"/>
    <n v="1"/>
    <x v="1"/>
    <x v="1"/>
    <x v="3"/>
    <s v="R&amp;D Revenue - South"/>
    <n v="8392.5"/>
    <n v="8444.01"/>
  </r>
  <r>
    <x v="220"/>
    <n v="1"/>
    <n v="2025"/>
    <n v="1"/>
    <x v="4"/>
    <x v="0"/>
    <x v="0"/>
    <s v="Marketing Expense - East"/>
    <n v="-4254.53"/>
    <m/>
  </r>
  <r>
    <x v="220"/>
    <n v="1"/>
    <n v="2025"/>
    <n v="1"/>
    <x v="7"/>
    <x v="0"/>
    <x v="0"/>
    <s v="Operations Expense - East"/>
    <n v="-28022.37"/>
    <m/>
  </r>
  <r>
    <x v="220"/>
    <n v="1"/>
    <n v="2025"/>
    <n v="1"/>
    <x v="1"/>
    <x v="0"/>
    <x v="0"/>
    <s v="R&amp;D Expense - East"/>
    <n v="-15220.2"/>
    <m/>
  </r>
  <r>
    <x v="220"/>
    <n v="1"/>
    <n v="2025"/>
    <n v="1"/>
    <x v="6"/>
    <x v="1"/>
    <x v="2"/>
    <s v="Sales Revenue - North"/>
    <n v="24018.01"/>
    <n v="24791.34"/>
  </r>
  <r>
    <x v="221"/>
    <n v="1"/>
    <n v="2025"/>
    <n v="1"/>
    <x v="1"/>
    <x v="1"/>
    <x v="2"/>
    <s v="R&amp;D Revenue - North"/>
    <n v="10059.26"/>
    <n v="9832.66"/>
  </r>
  <r>
    <x v="221"/>
    <n v="1"/>
    <n v="2025"/>
    <n v="1"/>
    <x v="6"/>
    <x v="0"/>
    <x v="3"/>
    <s v="Sales Expense - South"/>
    <n v="-6856.14"/>
    <m/>
  </r>
  <r>
    <x v="222"/>
    <n v="1"/>
    <n v="2025"/>
    <n v="1"/>
    <x v="3"/>
    <x v="0"/>
    <x v="0"/>
    <s v="Subscriptions Expense - East"/>
    <n v="-36728.699999999997"/>
    <m/>
  </r>
  <r>
    <x v="222"/>
    <n v="1"/>
    <n v="2025"/>
    <n v="1"/>
    <x v="7"/>
    <x v="0"/>
    <x v="3"/>
    <s v="Operations Expense - South"/>
    <n v="-14978.7"/>
    <m/>
  </r>
  <r>
    <x v="223"/>
    <n v="1"/>
    <n v="2025"/>
    <n v="1"/>
    <x v="0"/>
    <x v="0"/>
    <x v="2"/>
    <s v="Services Expense - North"/>
    <n v="-11539.1"/>
    <m/>
  </r>
  <r>
    <x v="224"/>
    <n v="1"/>
    <n v="2025"/>
    <n v="1"/>
    <x v="5"/>
    <x v="0"/>
    <x v="0"/>
    <s v="HR Expense - East"/>
    <n v="-1624.7"/>
    <m/>
  </r>
  <r>
    <x v="224"/>
    <n v="1"/>
    <n v="2025"/>
    <n v="1"/>
    <x v="4"/>
    <x v="1"/>
    <x v="3"/>
    <s v="Marketing Revenue - South"/>
    <n v="7445.82"/>
    <n v="7415.06"/>
  </r>
  <r>
    <x v="225"/>
    <n v="1"/>
    <n v="2025"/>
    <n v="1"/>
    <x v="5"/>
    <x v="1"/>
    <x v="1"/>
    <s v="HR Revenue - West"/>
    <n v="3638.94"/>
    <n v="3758.86"/>
  </r>
  <r>
    <x v="225"/>
    <n v="1"/>
    <n v="2025"/>
    <n v="1"/>
    <x v="4"/>
    <x v="0"/>
    <x v="3"/>
    <s v="Marketing Expense - South"/>
    <n v="-3787.18"/>
    <m/>
  </r>
  <r>
    <x v="225"/>
    <n v="1"/>
    <n v="2025"/>
    <n v="1"/>
    <x v="5"/>
    <x v="0"/>
    <x v="3"/>
    <s v="HR Expense - South"/>
    <n v="-3710.25"/>
    <m/>
  </r>
  <r>
    <x v="225"/>
    <n v="1"/>
    <n v="2025"/>
    <n v="1"/>
    <x v="2"/>
    <x v="0"/>
    <x v="3"/>
    <s v="G&amp;A Expense - South"/>
    <n v="-2412.7600000000002"/>
    <m/>
  </r>
  <r>
    <x v="226"/>
    <n v="1"/>
    <n v="2025"/>
    <n v="1"/>
    <x v="6"/>
    <x v="1"/>
    <x v="0"/>
    <s v="Sales Revenue - East"/>
    <n v="22866.23"/>
    <n v="21658.57"/>
  </r>
  <r>
    <x v="226"/>
    <n v="1"/>
    <n v="2025"/>
    <n v="1"/>
    <x v="4"/>
    <x v="1"/>
    <x v="0"/>
    <s v="Marketing Revenue - East"/>
    <n v="8970.2199999999993"/>
    <n v="9233.2000000000007"/>
  </r>
  <r>
    <x v="227"/>
    <n v="1"/>
    <n v="2025"/>
    <n v="1"/>
    <x v="5"/>
    <x v="1"/>
    <x v="2"/>
    <s v="HR Revenue - North"/>
    <n v="3723.05"/>
    <n v="3924.57"/>
  </r>
  <r>
    <x v="228"/>
    <n v="1"/>
    <n v="2025"/>
    <n v="1"/>
    <x v="1"/>
    <x v="1"/>
    <x v="0"/>
    <s v="R&amp;D Revenue - East"/>
    <n v="10358.59"/>
    <n v="11090.04"/>
  </r>
  <r>
    <x v="229"/>
    <n v="1"/>
    <n v="2025"/>
    <n v="1"/>
    <x v="0"/>
    <x v="1"/>
    <x v="1"/>
    <s v="Services Revenue - West"/>
    <n v="16078.67"/>
    <n v="15639.27"/>
  </r>
  <r>
    <x v="229"/>
    <n v="1"/>
    <n v="2025"/>
    <n v="1"/>
    <x v="3"/>
    <x v="1"/>
    <x v="3"/>
    <s v="Subscriptions Revenue - South"/>
    <n v="17860.09"/>
    <n v="17150.080000000002"/>
  </r>
  <r>
    <x v="229"/>
    <n v="1"/>
    <n v="2025"/>
    <n v="1"/>
    <x v="5"/>
    <x v="1"/>
    <x v="3"/>
    <s v="HR Revenue - South"/>
    <n v="4820.8500000000004"/>
    <n v="4532.25"/>
  </r>
  <r>
    <x v="230"/>
    <n v="1"/>
    <n v="2025"/>
    <n v="1"/>
    <x v="1"/>
    <x v="0"/>
    <x v="2"/>
    <s v="R&amp;D Expense - North"/>
    <n v="-11489.05"/>
    <m/>
  </r>
  <r>
    <x v="230"/>
    <n v="1"/>
    <n v="2025"/>
    <n v="1"/>
    <x v="0"/>
    <x v="1"/>
    <x v="3"/>
    <s v="Services Revenue - South"/>
    <n v="21558.67"/>
    <n v="23589.95"/>
  </r>
  <r>
    <x v="231"/>
    <n v="1"/>
    <n v="2025"/>
    <n v="1"/>
    <x v="0"/>
    <x v="1"/>
    <x v="2"/>
    <s v="Services Revenue - North"/>
    <n v="23100.720000000001"/>
    <n v="22304.83"/>
  </r>
  <r>
    <x v="231"/>
    <n v="1"/>
    <n v="2025"/>
    <n v="1"/>
    <x v="3"/>
    <x v="1"/>
    <x v="2"/>
    <s v="Subscriptions Revenue - North"/>
    <n v="26643.96"/>
    <n v="29060.86"/>
  </r>
  <r>
    <x v="231"/>
    <n v="1"/>
    <n v="2025"/>
    <n v="1"/>
    <x v="4"/>
    <x v="1"/>
    <x v="2"/>
    <s v="Marketing Revenue - North"/>
    <n v="6115.84"/>
    <n v="6471.49"/>
  </r>
  <r>
    <x v="232"/>
    <n v="1"/>
    <n v="2025"/>
    <n v="1"/>
    <x v="2"/>
    <x v="0"/>
    <x v="0"/>
    <s v="G&amp;A Expense - East"/>
    <n v="-2935.29"/>
    <m/>
  </r>
  <r>
    <x v="232"/>
    <n v="1"/>
    <n v="2025"/>
    <n v="1"/>
    <x v="4"/>
    <x v="0"/>
    <x v="2"/>
    <s v="Marketing Expense - North"/>
    <n v="-7802.62"/>
    <m/>
  </r>
  <r>
    <x v="232"/>
    <n v="1"/>
    <n v="2025"/>
    <n v="1"/>
    <x v="5"/>
    <x v="0"/>
    <x v="2"/>
    <s v="HR Expense - North"/>
    <n v="-2400.1"/>
    <m/>
  </r>
  <r>
    <x v="232"/>
    <n v="1"/>
    <n v="2025"/>
    <n v="1"/>
    <x v="3"/>
    <x v="0"/>
    <x v="3"/>
    <s v="Subscriptions Expense - South"/>
    <n v="-15780.62"/>
    <m/>
  </r>
  <r>
    <x v="232"/>
    <n v="1"/>
    <n v="2025"/>
    <n v="1"/>
    <x v="7"/>
    <x v="1"/>
    <x v="3"/>
    <s v="Operations Revenue - South"/>
    <n v="10801.63"/>
    <n v="10421.049999999999"/>
  </r>
  <r>
    <x v="233"/>
    <n v="1"/>
    <n v="2025"/>
    <n v="1"/>
    <x v="7"/>
    <x v="1"/>
    <x v="2"/>
    <s v="Operations Revenue - North"/>
    <n v="14650.23"/>
    <n v="14819.04"/>
  </r>
  <r>
    <x v="233"/>
    <n v="1"/>
    <n v="2025"/>
    <n v="1"/>
    <x v="2"/>
    <x v="1"/>
    <x v="3"/>
    <s v="G&amp;A Revenue - South"/>
    <n v="6144.87"/>
    <n v="6442.56"/>
  </r>
  <r>
    <x v="234"/>
    <n v="1"/>
    <n v="2025"/>
    <n v="1"/>
    <x v="2"/>
    <x v="0"/>
    <x v="1"/>
    <s v="G&amp;A Expense - West"/>
    <n v="-6091.53"/>
    <m/>
  </r>
  <r>
    <x v="234"/>
    <n v="1"/>
    <n v="2025"/>
    <n v="1"/>
    <x v="0"/>
    <x v="0"/>
    <x v="3"/>
    <s v="Services Expense - South"/>
    <n v="-8345.43"/>
    <m/>
  </r>
  <r>
    <x v="235"/>
    <n v="1"/>
    <n v="2025"/>
    <n v="1"/>
    <x v="2"/>
    <x v="1"/>
    <x v="0"/>
    <s v="G&amp;A Revenue - East"/>
    <n v="6849.78"/>
    <n v="6377.25"/>
  </r>
  <r>
    <x v="235"/>
    <n v="1"/>
    <n v="2025"/>
    <n v="1"/>
    <x v="6"/>
    <x v="1"/>
    <x v="1"/>
    <s v="Sales Revenue - West"/>
    <n v="24676.42"/>
    <n v="25444.86"/>
  </r>
  <r>
    <x v="235"/>
    <n v="1"/>
    <n v="2025"/>
    <n v="1"/>
    <x v="0"/>
    <x v="0"/>
    <x v="1"/>
    <s v="Services Expense - West"/>
    <n v="-17929.849999999999"/>
    <m/>
  </r>
  <r>
    <x v="235"/>
    <n v="1"/>
    <n v="2025"/>
    <n v="1"/>
    <x v="1"/>
    <x v="0"/>
    <x v="1"/>
    <s v="R&amp;D Expense - West"/>
    <n v="-5099.37"/>
    <m/>
  </r>
  <r>
    <x v="236"/>
    <n v="1"/>
    <n v="2025"/>
    <n v="1"/>
    <x v="3"/>
    <x v="0"/>
    <x v="1"/>
    <s v="Subscriptions Expense - West"/>
    <n v="-15384.58"/>
    <m/>
  </r>
  <r>
    <x v="237"/>
    <n v="1"/>
    <n v="2025"/>
    <n v="1"/>
    <x v="7"/>
    <x v="1"/>
    <x v="0"/>
    <s v="Operations Revenue - East"/>
    <n v="16768.13"/>
    <n v="17812.57"/>
  </r>
  <r>
    <x v="238"/>
    <n v="1"/>
    <n v="2025"/>
    <n v="1"/>
    <x v="7"/>
    <x v="1"/>
    <x v="1"/>
    <s v="Operations Revenue - West"/>
    <n v="17481.740000000002"/>
    <n v="18680"/>
  </r>
  <r>
    <x v="238"/>
    <n v="1"/>
    <n v="2025"/>
    <n v="1"/>
    <x v="5"/>
    <x v="0"/>
    <x v="1"/>
    <s v="HR Expense - West"/>
    <n v="-3871.45"/>
    <m/>
  </r>
  <r>
    <x v="238"/>
    <n v="1"/>
    <n v="2025"/>
    <n v="1"/>
    <x v="6"/>
    <x v="0"/>
    <x v="2"/>
    <s v="Sales Expense - North"/>
    <n v="-29403.919999999998"/>
    <m/>
  </r>
  <r>
    <x v="238"/>
    <n v="1"/>
    <n v="2025"/>
    <n v="1"/>
    <x v="3"/>
    <x v="0"/>
    <x v="2"/>
    <s v="Subscriptions Expense - North"/>
    <n v="-23898.67"/>
    <m/>
  </r>
  <r>
    <x v="239"/>
    <n v="1"/>
    <n v="2025"/>
    <n v="1"/>
    <x v="2"/>
    <x v="1"/>
    <x v="2"/>
    <s v="G&amp;A Revenue - North"/>
    <n v="6041.06"/>
    <n v="6245.94"/>
  </r>
  <r>
    <x v="240"/>
    <n v="2"/>
    <n v="2025"/>
    <n v="1"/>
    <x v="2"/>
    <x v="1"/>
    <x v="1"/>
    <s v="G&amp;A Revenue - West"/>
    <n v="6409.86"/>
    <n v="7040.33"/>
  </r>
  <r>
    <x v="240"/>
    <n v="2"/>
    <n v="2025"/>
    <n v="1"/>
    <x v="0"/>
    <x v="0"/>
    <x v="2"/>
    <s v="Services Expense - North"/>
    <n v="-19447.71"/>
    <m/>
  </r>
  <r>
    <x v="241"/>
    <n v="2"/>
    <n v="2025"/>
    <n v="1"/>
    <x v="4"/>
    <x v="1"/>
    <x v="0"/>
    <s v="Marketing Revenue - East"/>
    <n v="8987.89"/>
    <n v="8530.4"/>
  </r>
  <r>
    <x v="242"/>
    <n v="2"/>
    <n v="2025"/>
    <n v="1"/>
    <x v="3"/>
    <x v="1"/>
    <x v="3"/>
    <s v="Subscriptions Revenue - South"/>
    <n v="25402.41"/>
    <n v="25831.040000000001"/>
  </r>
  <r>
    <x v="242"/>
    <n v="2"/>
    <n v="2025"/>
    <n v="1"/>
    <x v="4"/>
    <x v="1"/>
    <x v="3"/>
    <s v="Marketing Revenue - South"/>
    <n v="9284.08"/>
    <n v="8881.19"/>
  </r>
  <r>
    <x v="243"/>
    <n v="2"/>
    <n v="2025"/>
    <n v="1"/>
    <x v="4"/>
    <x v="0"/>
    <x v="3"/>
    <s v="Marketing Expense - South"/>
    <n v="-10403.730000000001"/>
    <m/>
  </r>
  <r>
    <x v="244"/>
    <n v="2"/>
    <n v="2025"/>
    <n v="1"/>
    <x v="2"/>
    <x v="0"/>
    <x v="1"/>
    <s v="G&amp;A Expense - West"/>
    <n v="-3923.4"/>
    <m/>
  </r>
  <r>
    <x v="244"/>
    <n v="2"/>
    <n v="2025"/>
    <n v="1"/>
    <x v="2"/>
    <x v="1"/>
    <x v="2"/>
    <s v="G&amp;A Revenue - North"/>
    <n v="7104.74"/>
    <n v="7139.08"/>
  </r>
  <r>
    <x v="244"/>
    <n v="2"/>
    <n v="2025"/>
    <n v="1"/>
    <x v="7"/>
    <x v="1"/>
    <x v="3"/>
    <s v="Operations Revenue - South"/>
    <n v="14662.75"/>
    <n v="14651.92"/>
  </r>
  <r>
    <x v="245"/>
    <n v="2"/>
    <n v="2025"/>
    <n v="1"/>
    <x v="0"/>
    <x v="0"/>
    <x v="1"/>
    <s v="Services Expense - West"/>
    <n v="-11593.43"/>
    <m/>
  </r>
  <r>
    <x v="245"/>
    <n v="2"/>
    <n v="2025"/>
    <n v="1"/>
    <x v="5"/>
    <x v="0"/>
    <x v="2"/>
    <s v="HR Expense - North"/>
    <n v="-7228.47"/>
    <m/>
  </r>
  <r>
    <x v="245"/>
    <n v="2"/>
    <n v="2025"/>
    <n v="1"/>
    <x v="2"/>
    <x v="0"/>
    <x v="3"/>
    <s v="G&amp;A Expense - South"/>
    <n v="-8668.3799999999992"/>
    <m/>
  </r>
  <r>
    <x v="246"/>
    <n v="2"/>
    <n v="2025"/>
    <n v="1"/>
    <x v="3"/>
    <x v="0"/>
    <x v="1"/>
    <s v="Subscriptions Expense - West"/>
    <n v="-10343.9"/>
    <m/>
  </r>
  <r>
    <x v="246"/>
    <n v="2"/>
    <n v="2025"/>
    <n v="1"/>
    <x v="4"/>
    <x v="0"/>
    <x v="1"/>
    <s v="Marketing Expense - West"/>
    <n v="-15320.25"/>
    <m/>
  </r>
  <r>
    <x v="246"/>
    <n v="2"/>
    <n v="2025"/>
    <n v="1"/>
    <x v="4"/>
    <x v="0"/>
    <x v="2"/>
    <s v="Marketing Expense - North"/>
    <n v="-6393.22"/>
    <m/>
  </r>
  <r>
    <x v="246"/>
    <n v="2"/>
    <n v="2025"/>
    <n v="1"/>
    <x v="5"/>
    <x v="1"/>
    <x v="2"/>
    <s v="HR Revenue - North"/>
    <n v="5467.19"/>
    <n v="5526.03"/>
  </r>
  <r>
    <x v="246"/>
    <n v="2"/>
    <n v="2025"/>
    <n v="1"/>
    <x v="5"/>
    <x v="0"/>
    <x v="3"/>
    <s v="HR Expense - South"/>
    <n v="-4941.82"/>
    <m/>
  </r>
  <r>
    <x v="247"/>
    <n v="2"/>
    <n v="2025"/>
    <n v="1"/>
    <x v="4"/>
    <x v="0"/>
    <x v="0"/>
    <s v="Marketing Expense - East"/>
    <n v="-6707.3"/>
    <m/>
  </r>
  <r>
    <x v="247"/>
    <n v="2"/>
    <n v="2025"/>
    <n v="1"/>
    <x v="7"/>
    <x v="0"/>
    <x v="0"/>
    <s v="Operations Expense - East"/>
    <n v="-13501.97"/>
    <m/>
  </r>
  <r>
    <x v="247"/>
    <n v="2"/>
    <n v="2025"/>
    <n v="1"/>
    <x v="2"/>
    <x v="1"/>
    <x v="3"/>
    <s v="G&amp;A Revenue - South"/>
    <n v="7145.4"/>
    <n v="6822.18"/>
  </r>
  <r>
    <x v="248"/>
    <n v="2"/>
    <n v="2025"/>
    <n v="1"/>
    <x v="6"/>
    <x v="0"/>
    <x v="0"/>
    <s v="Sales Expense - East"/>
    <n v="-25111.119999999999"/>
    <m/>
  </r>
  <r>
    <x v="248"/>
    <n v="2"/>
    <n v="2025"/>
    <n v="1"/>
    <x v="2"/>
    <x v="0"/>
    <x v="0"/>
    <s v="G&amp;A Expense - East"/>
    <n v="-8910.98"/>
    <m/>
  </r>
  <r>
    <x v="248"/>
    <n v="2"/>
    <n v="2025"/>
    <n v="1"/>
    <x v="4"/>
    <x v="1"/>
    <x v="2"/>
    <s v="Marketing Revenue - North"/>
    <n v="8961.58"/>
    <n v="9099.86"/>
  </r>
  <r>
    <x v="249"/>
    <n v="2"/>
    <n v="2025"/>
    <n v="1"/>
    <x v="7"/>
    <x v="0"/>
    <x v="3"/>
    <s v="Operations Expense - South"/>
    <n v="-18735.02"/>
    <m/>
  </r>
  <r>
    <x v="250"/>
    <n v="2"/>
    <n v="2025"/>
    <n v="1"/>
    <x v="0"/>
    <x v="1"/>
    <x v="1"/>
    <s v="Services Revenue - West"/>
    <n v="20589.349999999999"/>
    <n v="20125.439999999999"/>
  </r>
  <r>
    <x v="250"/>
    <n v="2"/>
    <n v="2025"/>
    <n v="1"/>
    <x v="6"/>
    <x v="1"/>
    <x v="2"/>
    <s v="Sales Revenue - North"/>
    <n v="37067.94"/>
    <n v="36400.94"/>
  </r>
  <r>
    <x v="251"/>
    <n v="2"/>
    <n v="2025"/>
    <n v="1"/>
    <x v="1"/>
    <x v="1"/>
    <x v="1"/>
    <s v="R&amp;D Revenue - West"/>
    <n v="11028.09"/>
    <n v="10695.86"/>
  </r>
  <r>
    <x v="252"/>
    <n v="2"/>
    <n v="2025"/>
    <n v="1"/>
    <x v="0"/>
    <x v="0"/>
    <x v="0"/>
    <s v="Services Expense - East"/>
    <n v="-17679.240000000002"/>
    <m/>
  </r>
  <r>
    <x v="252"/>
    <n v="2"/>
    <n v="2025"/>
    <n v="1"/>
    <x v="5"/>
    <x v="0"/>
    <x v="0"/>
    <s v="HR Expense - East"/>
    <n v="-2747.27"/>
    <m/>
  </r>
  <r>
    <x v="252"/>
    <n v="2"/>
    <n v="2025"/>
    <n v="1"/>
    <x v="0"/>
    <x v="1"/>
    <x v="3"/>
    <s v="Services Revenue - South"/>
    <n v="22451.23"/>
    <n v="24624.880000000001"/>
  </r>
  <r>
    <x v="252"/>
    <n v="2"/>
    <n v="2025"/>
    <n v="1"/>
    <x v="0"/>
    <x v="0"/>
    <x v="3"/>
    <s v="Services Expense - South"/>
    <n v="-10091.459999999999"/>
    <m/>
  </r>
  <r>
    <x v="252"/>
    <n v="2"/>
    <n v="2025"/>
    <n v="1"/>
    <x v="5"/>
    <x v="1"/>
    <x v="3"/>
    <s v="HR Revenue - South"/>
    <n v="4644.16"/>
    <n v="5028.0600000000004"/>
  </r>
  <r>
    <x v="253"/>
    <n v="2"/>
    <n v="2025"/>
    <n v="1"/>
    <x v="1"/>
    <x v="0"/>
    <x v="0"/>
    <s v="R&amp;D Expense - East"/>
    <n v="-7199.87"/>
    <m/>
  </r>
  <r>
    <x v="253"/>
    <n v="2"/>
    <n v="2025"/>
    <n v="1"/>
    <x v="1"/>
    <x v="0"/>
    <x v="3"/>
    <s v="R&amp;D Expense - South"/>
    <n v="-6841.88"/>
    <m/>
  </r>
  <r>
    <x v="254"/>
    <n v="2"/>
    <n v="2025"/>
    <n v="1"/>
    <x v="3"/>
    <x v="1"/>
    <x v="0"/>
    <s v="Subscriptions Revenue - East"/>
    <n v="34553.21"/>
    <n v="37664.79"/>
  </r>
  <r>
    <x v="254"/>
    <n v="2"/>
    <n v="2025"/>
    <n v="1"/>
    <x v="3"/>
    <x v="1"/>
    <x v="2"/>
    <s v="Subscriptions Revenue - North"/>
    <n v="29692.57"/>
    <n v="32307.65"/>
  </r>
  <r>
    <x v="254"/>
    <n v="2"/>
    <n v="2025"/>
    <n v="1"/>
    <x v="7"/>
    <x v="0"/>
    <x v="2"/>
    <s v="Operations Expense - North"/>
    <n v="-17111.52"/>
    <m/>
  </r>
  <r>
    <x v="254"/>
    <n v="2"/>
    <n v="2025"/>
    <n v="1"/>
    <x v="1"/>
    <x v="1"/>
    <x v="3"/>
    <s v="R&amp;D Revenue - South"/>
    <n v="10766.37"/>
    <n v="10834.65"/>
  </r>
  <r>
    <x v="255"/>
    <n v="2"/>
    <n v="2025"/>
    <n v="1"/>
    <x v="7"/>
    <x v="1"/>
    <x v="0"/>
    <s v="Operations Revenue - East"/>
    <n v="21929.86"/>
    <n v="20544.16"/>
  </r>
  <r>
    <x v="255"/>
    <n v="2"/>
    <n v="2025"/>
    <n v="1"/>
    <x v="6"/>
    <x v="1"/>
    <x v="1"/>
    <s v="Sales Revenue - West"/>
    <n v="30214.83"/>
    <n v="31568.47"/>
  </r>
  <r>
    <x v="255"/>
    <n v="2"/>
    <n v="2025"/>
    <n v="1"/>
    <x v="6"/>
    <x v="0"/>
    <x v="2"/>
    <s v="Sales Expense - North"/>
    <n v="-46698.13"/>
    <m/>
  </r>
  <r>
    <x v="255"/>
    <n v="2"/>
    <n v="2025"/>
    <n v="1"/>
    <x v="1"/>
    <x v="0"/>
    <x v="2"/>
    <s v="R&amp;D Expense - North"/>
    <n v="-6261.24"/>
    <m/>
  </r>
  <r>
    <x v="256"/>
    <n v="2"/>
    <n v="2025"/>
    <n v="1"/>
    <x v="3"/>
    <x v="1"/>
    <x v="1"/>
    <s v="Subscriptions Revenue - West"/>
    <n v="28512.32"/>
    <n v="28467.38"/>
  </r>
  <r>
    <x v="256"/>
    <n v="2"/>
    <n v="2025"/>
    <n v="1"/>
    <x v="5"/>
    <x v="0"/>
    <x v="1"/>
    <s v="HR Expense - West"/>
    <n v="-8596.43"/>
    <m/>
  </r>
  <r>
    <x v="257"/>
    <n v="2"/>
    <n v="2025"/>
    <n v="1"/>
    <x v="5"/>
    <x v="1"/>
    <x v="1"/>
    <s v="HR Revenue - West"/>
    <n v="5951.76"/>
    <n v="6313.66"/>
  </r>
  <r>
    <x v="258"/>
    <n v="2"/>
    <n v="2025"/>
    <n v="1"/>
    <x v="6"/>
    <x v="1"/>
    <x v="0"/>
    <s v="Sales Revenue - East"/>
    <n v="33325.53"/>
    <n v="35513.85"/>
  </r>
  <r>
    <x v="258"/>
    <n v="2"/>
    <n v="2025"/>
    <n v="1"/>
    <x v="3"/>
    <x v="0"/>
    <x v="0"/>
    <s v="Subscriptions Expense - East"/>
    <n v="-26843.47"/>
    <m/>
  </r>
  <r>
    <x v="258"/>
    <n v="2"/>
    <n v="2025"/>
    <n v="1"/>
    <x v="3"/>
    <x v="0"/>
    <x v="3"/>
    <s v="Subscriptions Expense - South"/>
    <n v="-26690.52"/>
    <m/>
  </r>
  <r>
    <x v="259"/>
    <n v="2"/>
    <n v="2025"/>
    <n v="1"/>
    <x v="0"/>
    <x v="1"/>
    <x v="0"/>
    <s v="Services Revenue - East"/>
    <n v="29173.49"/>
    <n v="27623.52"/>
  </r>
  <r>
    <x v="259"/>
    <n v="2"/>
    <n v="2025"/>
    <n v="1"/>
    <x v="7"/>
    <x v="0"/>
    <x v="1"/>
    <s v="Operations Expense - West"/>
    <n v="-26140.400000000001"/>
    <m/>
  </r>
  <r>
    <x v="259"/>
    <n v="2"/>
    <n v="2025"/>
    <n v="1"/>
    <x v="6"/>
    <x v="0"/>
    <x v="3"/>
    <s v="Sales Expense - South"/>
    <n v="-15182.32"/>
    <m/>
  </r>
  <r>
    <x v="260"/>
    <n v="2"/>
    <n v="2025"/>
    <n v="1"/>
    <x v="0"/>
    <x v="1"/>
    <x v="2"/>
    <s v="Services Revenue - North"/>
    <n v="21916.959999999999"/>
    <n v="21782.87"/>
  </r>
  <r>
    <x v="261"/>
    <n v="2"/>
    <n v="2025"/>
    <n v="1"/>
    <x v="3"/>
    <x v="0"/>
    <x v="2"/>
    <s v="Subscriptions Expense - North"/>
    <n v="-39361.79"/>
    <m/>
  </r>
  <r>
    <x v="262"/>
    <n v="2"/>
    <n v="2025"/>
    <n v="1"/>
    <x v="1"/>
    <x v="1"/>
    <x v="0"/>
    <s v="R&amp;D Revenue - East"/>
    <n v="12270.61"/>
    <n v="11582.9"/>
  </r>
  <r>
    <x v="262"/>
    <n v="2"/>
    <n v="2025"/>
    <n v="1"/>
    <x v="6"/>
    <x v="0"/>
    <x v="1"/>
    <s v="Sales Expense - West"/>
    <n v="-46790.94"/>
    <m/>
  </r>
  <r>
    <x v="262"/>
    <n v="2"/>
    <n v="2025"/>
    <n v="1"/>
    <x v="4"/>
    <x v="1"/>
    <x v="1"/>
    <s v="Marketing Revenue - West"/>
    <n v="10266.48"/>
    <n v="9825.68"/>
  </r>
  <r>
    <x v="262"/>
    <n v="2"/>
    <n v="2025"/>
    <n v="1"/>
    <x v="7"/>
    <x v="1"/>
    <x v="2"/>
    <s v="Operations Revenue - North"/>
    <n v="15926"/>
    <n v="17508.490000000002"/>
  </r>
  <r>
    <x v="263"/>
    <n v="2"/>
    <n v="2025"/>
    <n v="1"/>
    <x v="5"/>
    <x v="1"/>
    <x v="0"/>
    <s v="HR Revenue - East"/>
    <n v="6065.75"/>
    <n v="5943.79"/>
  </r>
  <r>
    <x v="263"/>
    <n v="2"/>
    <n v="2025"/>
    <n v="1"/>
    <x v="7"/>
    <x v="1"/>
    <x v="1"/>
    <s v="Operations Revenue - West"/>
    <n v="18578.93"/>
    <n v="19298.580000000002"/>
  </r>
  <r>
    <x v="263"/>
    <n v="2"/>
    <n v="2025"/>
    <n v="1"/>
    <x v="1"/>
    <x v="1"/>
    <x v="2"/>
    <s v="R&amp;D Revenue - North"/>
    <n v="13655.28"/>
    <n v="14980.36"/>
  </r>
  <r>
    <x v="264"/>
    <n v="2"/>
    <n v="2025"/>
    <n v="1"/>
    <x v="2"/>
    <x v="1"/>
    <x v="0"/>
    <s v="G&amp;A Revenue - East"/>
    <n v="8130.11"/>
    <n v="8605.81"/>
  </r>
  <r>
    <x v="264"/>
    <n v="2"/>
    <n v="2025"/>
    <n v="1"/>
    <x v="2"/>
    <x v="0"/>
    <x v="2"/>
    <s v="G&amp;A Expense - North"/>
    <n v="-5654.89"/>
    <m/>
  </r>
  <r>
    <x v="264"/>
    <n v="2"/>
    <n v="2025"/>
    <n v="1"/>
    <x v="6"/>
    <x v="1"/>
    <x v="3"/>
    <s v="Sales Revenue - South"/>
    <n v="23265.73"/>
    <n v="25440.959999999999"/>
  </r>
  <r>
    <x v="265"/>
    <n v="2"/>
    <n v="2025"/>
    <n v="1"/>
    <x v="1"/>
    <x v="0"/>
    <x v="1"/>
    <s v="R&amp;D Expense - West"/>
    <n v="-5926.07"/>
    <m/>
  </r>
  <r>
    <x v="266"/>
    <n v="3"/>
    <n v="2025"/>
    <n v="1"/>
    <x v="6"/>
    <x v="1"/>
    <x v="3"/>
    <s v="Sales Revenue - South"/>
    <n v="24625.39"/>
    <n v="25770.28"/>
  </r>
  <r>
    <x v="267"/>
    <n v="3"/>
    <n v="2025"/>
    <n v="1"/>
    <x v="1"/>
    <x v="1"/>
    <x v="0"/>
    <s v="R&amp;D Revenue - East"/>
    <n v="10984.91"/>
    <n v="11765.32"/>
  </r>
  <r>
    <x v="267"/>
    <n v="3"/>
    <n v="2025"/>
    <n v="1"/>
    <x v="2"/>
    <x v="1"/>
    <x v="0"/>
    <s v="G&amp;A Revenue - East"/>
    <n v="6669.64"/>
    <n v="7188.46"/>
  </r>
  <r>
    <x v="267"/>
    <n v="3"/>
    <n v="2025"/>
    <n v="1"/>
    <x v="7"/>
    <x v="0"/>
    <x v="2"/>
    <s v="Operations Expense - North"/>
    <n v="-13575.21"/>
    <m/>
  </r>
  <r>
    <x v="268"/>
    <n v="3"/>
    <n v="2025"/>
    <n v="1"/>
    <x v="4"/>
    <x v="1"/>
    <x v="0"/>
    <s v="Marketing Revenue - East"/>
    <n v="7505.61"/>
    <n v="7911.49"/>
  </r>
  <r>
    <x v="268"/>
    <n v="3"/>
    <n v="2025"/>
    <n v="1"/>
    <x v="5"/>
    <x v="0"/>
    <x v="2"/>
    <s v="HR Expense - North"/>
    <n v="-1464.38"/>
    <m/>
  </r>
  <r>
    <x v="268"/>
    <n v="3"/>
    <n v="2025"/>
    <n v="1"/>
    <x v="6"/>
    <x v="0"/>
    <x v="3"/>
    <s v="Sales Expense - South"/>
    <n v="-11426.07"/>
    <m/>
  </r>
  <r>
    <x v="269"/>
    <n v="3"/>
    <n v="2025"/>
    <n v="1"/>
    <x v="3"/>
    <x v="0"/>
    <x v="3"/>
    <s v="Subscriptions Expense - South"/>
    <n v="-16043.16"/>
    <m/>
  </r>
  <r>
    <x v="269"/>
    <n v="3"/>
    <n v="2025"/>
    <n v="1"/>
    <x v="7"/>
    <x v="0"/>
    <x v="3"/>
    <s v="Operations Expense - South"/>
    <n v="-12549.13"/>
    <m/>
  </r>
  <r>
    <x v="270"/>
    <n v="3"/>
    <n v="2025"/>
    <n v="1"/>
    <x v="6"/>
    <x v="1"/>
    <x v="0"/>
    <s v="Sales Revenue - East"/>
    <n v="28070.26"/>
    <n v="30121.47"/>
  </r>
  <r>
    <x v="270"/>
    <n v="3"/>
    <n v="2025"/>
    <n v="1"/>
    <x v="5"/>
    <x v="1"/>
    <x v="0"/>
    <s v="HR Revenue - East"/>
    <n v="5552.73"/>
    <n v="5411.12"/>
  </r>
  <r>
    <x v="271"/>
    <n v="3"/>
    <n v="2025"/>
    <n v="1"/>
    <x v="2"/>
    <x v="0"/>
    <x v="0"/>
    <s v="G&amp;A Expense - East"/>
    <n v="-3869.61"/>
    <m/>
  </r>
  <r>
    <x v="271"/>
    <n v="3"/>
    <n v="2025"/>
    <n v="1"/>
    <x v="0"/>
    <x v="0"/>
    <x v="1"/>
    <s v="Services Expense - West"/>
    <n v="-8845.8700000000008"/>
    <m/>
  </r>
  <r>
    <x v="272"/>
    <n v="3"/>
    <n v="2025"/>
    <n v="1"/>
    <x v="5"/>
    <x v="0"/>
    <x v="1"/>
    <s v="HR Expense - West"/>
    <n v="-6068.93"/>
    <m/>
  </r>
  <r>
    <x v="272"/>
    <n v="3"/>
    <n v="2025"/>
    <n v="1"/>
    <x v="6"/>
    <x v="1"/>
    <x v="2"/>
    <s v="Sales Revenue - North"/>
    <n v="32956.559999999998"/>
    <n v="31318.73"/>
  </r>
  <r>
    <x v="273"/>
    <n v="3"/>
    <n v="2025"/>
    <n v="1"/>
    <x v="3"/>
    <x v="1"/>
    <x v="0"/>
    <s v="Subscriptions Revenue - East"/>
    <n v="23815.59"/>
    <n v="22164.1"/>
  </r>
  <r>
    <x v="273"/>
    <n v="3"/>
    <n v="2025"/>
    <n v="1"/>
    <x v="4"/>
    <x v="1"/>
    <x v="1"/>
    <s v="Marketing Revenue - West"/>
    <n v="8874.5300000000007"/>
    <n v="9375.3700000000008"/>
  </r>
  <r>
    <x v="273"/>
    <n v="3"/>
    <n v="2025"/>
    <n v="1"/>
    <x v="0"/>
    <x v="1"/>
    <x v="2"/>
    <s v="Services Revenue - North"/>
    <n v="25296.98"/>
    <n v="27341.98"/>
  </r>
  <r>
    <x v="274"/>
    <n v="3"/>
    <n v="2025"/>
    <n v="1"/>
    <x v="3"/>
    <x v="1"/>
    <x v="1"/>
    <s v="Subscriptions Revenue - West"/>
    <n v="21128.959999999999"/>
    <n v="21107.21"/>
  </r>
  <r>
    <x v="274"/>
    <n v="3"/>
    <n v="2025"/>
    <n v="1"/>
    <x v="5"/>
    <x v="1"/>
    <x v="1"/>
    <s v="HR Revenue - West"/>
    <n v="4067.9"/>
    <n v="4226.1099999999997"/>
  </r>
  <r>
    <x v="274"/>
    <n v="3"/>
    <n v="2025"/>
    <n v="1"/>
    <x v="1"/>
    <x v="1"/>
    <x v="3"/>
    <s v="R&amp;D Revenue - South"/>
    <n v="11573.97"/>
    <n v="11781.21"/>
  </r>
  <r>
    <x v="275"/>
    <n v="3"/>
    <n v="2025"/>
    <n v="1"/>
    <x v="1"/>
    <x v="1"/>
    <x v="1"/>
    <s v="R&amp;D Revenue - West"/>
    <n v="12588.32"/>
    <n v="12213.05"/>
  </r>
  <r>
    <x v="275"/>
    <n v="3"/>
    <n v="2025"/>
    <n v="1"/>
    <x v="3"/>
    <x v="0"/>
    <x v="2"/>
    <s v="Subscriptions Expense - North"/>
    <n v="-24846.480000000003"/>
    <m/>
  </r>
  <r>
    <x v="275"/>
    <n v="3"/>
    <n v="2025"/>
    <n v="1"/>
    <x v="4"/>
    <x v="1"/>
    <x v="2"/>
    <s v="Marketing Revenue - North"/>
    <n v="7597.36"/>
    <n v="7616.99"/>
  </r>
  <r>
    <x v="275"/>
    <n v="3"/>
    <n v="2025"/>
    <n v="1"/>
    <x v="5"/>
    <x v="1"/>
    <x v="3"/>
    <s v="HR Revenue - South"/>
    <n v="4156.3999999999996"/>
    <n v="3935.2"/>
  </r>
  <r>
    <x v="276"/>
    <n v="3"/>
    <n v="2025"/>
    <n v="1"/>
    <x v="6"/>
    <x v="0"/>
    <x v="1"/>
    <s v="Sales Expense - West"/>
    <n v="-35998.269999999997"/>
    <m/>
  </r>
  <r>
    <x v="276"/>
    <n v="3"/>
    <n v="2025"/>
    <n v="1"/>
    <x v="7"/>
    <x v="1"/>
    <x v="1"/>
    <s v="Operations Revenue - West"/>
    <n v="19198.78"/>
    <n v="18779.98"/>
  </r>
  <r>
    <x v="277"/>
    <n v="3"/>
    <n v="2025"/>
    <n v="1"/>
    <x v="6"/>
    <x v="0"/>
    <x v="0"/>
    <s v="Sales Expense - East"/>
    <n v="-9838.34"/>
    <m/>
  </r>
  <r>
    <x v="277"/>
    <n v="3"/>
    <n v="2025"/>
    <n v="1"/>
    <x v="2"/>
    <x v="0"/>
    <x v="1"/>
    <s v="G&amp;A Expense - West"/>
    <n v="-3891.49"/>
    <m/>
  </r>
  <r>
    <x v="278"/>
    <n v="3"/>
    <n v="2025"/>
    <n v="1"/>
    <x v="2"/>
    <x v="1"/>
    <x v="3"/>
    <s v="G&amp;A Revenue - South"/>
    <n v="6096.61"/>
    <n v="6303.75"/>
  </r>
  <r>
    <x v="279"/>
    <n v="3"/>
    <n v="2025"/>
    <n v="1"/>
    <x v="6"/>
    <x v="0"/>
    <x v="2"/>
    <s v="Sales Expense - North"/>
    <n v="-19623.75"/>
    <m/>
  </r>
  <r>
    <x v="280"/>
    <n v="3"/>
    <n v="2025"/>
    <n v="1"/>
    <x v="1"/>
    <x v="0"/>
    <x v="1"/>
    <s v="R&amp;D Expense - West"/>
    <n v="-6818.12"/>
    <m/>
  </r>
  <r>
    <x v="280"/>
    <n v="3"/>
    <n v="2025"/>
    <n v="1"/>
    <x v="2"/>
    <x v="0"/>
    <x v="2"/>
    <s v="G&amp;A Expense - North"/>
    <n v="-2863.66"/>
    <m/>
  </r>
  <r>
    <x v="280"/>
    <n v="3"/>
    <n v="2025"/>
    <n v="1"/>
    <x v="0"/>
    <x v="0"/>
    <x v="3"/>
    <s v="Services Expense - South"/>
    <n v="-12972.91"/>
    <m/>
  </r>
  <r>
    <x v="281"/>
    <n v="3"/>
    <n v="2025"/>
    <n v="1"/>
    <x v="6"/>
    <x v="1"/>
    <x v="1"/>
    <s v="Sales Revenue - West"/>
    <n v="32810.089999999997"/>
    <n v="31191.57"/>
  </r>
  <r>
    <x v="282"/>
    <n v="3"/>
    <n v="2025"/>
    <n v="1"/>
    <x v="3"/>
    <x v="0"/>
    <x v="1"/>
    <s v="Subscriptions Expense - West"/>
    <n v="-14193.96"/>
    <m/>
  </r>
  <r>
    <x v="282"/>
    <n v="3"/>
    <n v="2025"/>
    <n v="1"/>
    <x v="2"/>
    <x v="0"/>
    <x v="3"/>
    <s v="G&amp;A Expense - South"/>
    <n v="-3221.31"/>
    <m/>
  </r>
  <r>
    <x v="283"/>
    <n v="3"/>
    <n v="2025"/>
    <n v="1"/>
    <x v="0"/>
    <x v="0"/>
    <x v="2"/>
    <s v="Services Expense - North"/>
    <n v="-8822.64"/>
    <m/>
  </r>
  <r>
    <x v="283"/>
    <n v="3"/>
    <n v="2025"/>
    <n v="1"/>
    <x v="0"/>
    <x v="1"/>
    <x v="3"/>
    <s v="Services Revenue - South"/>
    <n v="21068.94"/>
    <n v="20846.060000000001"/>
  </r>
  <r>
    <x v="283"/>
    <n v="3"/>
    <n v="2025"/>
    <n v="1"/>
    <x v="3"/>
    <x v="1"/>
    <x v="3"/>
    <s v="Subscriptions Revenue - South"/>
    <n v="27223.77"/>
    <n v="29861.34"/>
  </r>
  <r>
    <x v="283"/>
    <n v="3"/>
    <n v="2025"/>
    <n v="1"/>
    <x v="5"/>
    <x v="0"/>
    <x v="3"/>
    <s v="HR Expense - South"/>
    <n v="-1812.76"/>
    <m/>
  </r>
  <r>
    <x v="284"/>
    <n v="3"/>
    <n v="2025"/>
    <n v="1"/>
    <x v="4"/>
    <x v="0"/>
    <x v="0"/>
    <s v="Marketing Expense - East"/>
    <n v="-4458.42"/>
    <m/>
  </r>
  <r>
    <x v="284"/>
    <n v="3"/>
    <n v="2025"/>
    <n v="1"/>
    <x v="1"/>
    <x v="0"/>
    <x v="0"/>
    <s v="R&amp;D Expense - East"/>
    <n v="-14621.42"/>
    <m/>
  </r>
  <r>
    <x v="284"/>
    <n v="3"/>
    <n v="2025"/>
    <n v="1"/>
    <x v="1"/>
    <x v="1"/>
    <x v="2"/>
    <s v="R&amp;D Revenue - North"/>
    <n v="13403.68"/>
    <n v="13374.35"/>
  </r>
  <r>
    <x v="284"/>
    <n v="3"/>
    <n v="2025"/>
    <n v="1"/>
    <x v="7"/>
    <x v="1"/>
    <x v="3"/>
    <s v="Operations Revenue - South"/>
    <n v="16631.02"/>
    <n v="16115.93"/>
  </r>
  <r>
    <x v="285"/>
    <n v="3"/>
    <n v="2025"/>
    <n v="1"/>
    <x v="7"/>
    <x v="0"/>
    <x v="0"/>
    <s v="Operations Expense - East"/>
    <n v="-27666.58"/>
    <m/>
  </r>
  <r>
    <x v="285"/>
    <n v="3"/>
    <n v="2025"/>
    <n v="1"/>
    <x v="5"/>
    <x v="0"/>
    <x v="0"/>
    <s v="HR Expense - East"/>
    <n v="-7408.39"/>
    <m/>
  </r>
  <r>
    <x v="285"/>
    <n v="3"/>
    <n v="2025"/>
    <n v="1"/>
    <x v="3"/>
    <x v="1"/>
    <x v="2"/>
    <s v="Subscriptions Revenue - North"/>
    <n v="19614.11"/>
    <n v="19590.29"/>
  </r>
  <r>
    <x v="285"/>
    <n v="3"/>
    <n v="2025"/>
    <n v="1"/>
    <x v="1"/>
    <x v="0"/>
    <x v="2"/>
    <s v="R&amp;D Expense - North"/>
    <n v="-4641.25"/>
    <m/>
  </r>
  <r>
    <x v="285"/>
    <n v="3"/>
    <n v="2025"/>
    <n v="1"/>
    <x v="4"/>
    <x v="0"/>
    <x v="3"/>
    <s v="Marketing Expense - South"/>
    <n v="-7921.55"/>
    <m/>
  </r>
  <r>
    <x v="286"/>
    <n v="3"/>
    <n v="2025"/>
    <n v="1"/>
    <x v="4"/>
    <x v="0"/>
    <x v="2"/>
    <s v="Marketing Expense - North"/>
    <n v="-4534.8900000000003"/>
    <m/>
  </r>
  <r>
    <x v="286"/>
    <n v="3"/>
    <n v="2025"/>
    <n v="1"/>
    <x v="7"/>
    <x v="1"/>
    <x v="2"/>
    <s v="Operations Revenue - North"/>
    <n v="18102.82"/>
    <n v="18162.64"/>
  </r>
  <r>
    <x v="286"/>
    <n v="3"/>
    <n v="2025"/>
    <n v="1"/>
    <x v="5"/>
    <x v="1"/>
    <x v="2"/>
    <s v="HR Revenue - North"/>
    <n v="3731.55"/>
    <n v="4012.07"/>
  </r>
  <r>
    <x v="287"/>
    <n v="3"/>
    <n v="2025"/>
    <n v="1"/>
    <x v="0"/>
    <x v="1"/>
    <x v="0"/>
    <s v="Services Revenue - East"/>
    <n v="26900.77"/>
    <n v="29231.74"/>
  </r>
  <r>
    <x v="287"/>
    <n v="3"/>
    <n v="2025"/>
    <n v="1"/>
    <x v="2"/>
    <x v="1"/>
    <x v="1"/>
    <s v="G&amp;A Revenue - West"/>
    <n v="6140.07"/>
    <n v="6292.27"/>
  </r>
  <r>
    <x v="288"/>
    <n v="3"/>
    <n v="2025"/>
    <n v="1"/>
    <x v="7"/>
    <x v="1"/>
    <x v="0"/>
    <s v="Operations Revenue - East"/>
    <n v="18750.689999999999"/>
    <n v="18852.62"/>
  </r>
  <r>
    <x v="289"/>
    <n v="3"/>
    <n v="2025"/>
    <n v="1"/>
    <x v="0"/>
    <x v="0"/>
    <x v="0"/>
    <s v="Services Expense - East"/>
    <n v="-12916.54"/>
    <m/>
  </r>
  <r>
    <x v="289"/>
    <n v="3"/>
    <n v="2025"/>
    <n v="1"/>
    <x v="3"/>
    <x v="0"/>
    <x v="0"/>
    <s v="Subscriptions Expense - East"/>
    <n v="-16562.73"/>
    <m/>
  </r>
  <r>
    <x v="289"/>
    <n v="3"/>
    <n v="2025"/>
    <n v="1"/>
    <x v="0"/>
    <x v="1"/>
    <x v="1"/>
    <s v="Services Revenue - West"/>
    <n v="18949.05"/>
    <n v="18570.52"/>
  </r>
  <r>
    <x v="289"/>
    <n v="3"/>
    <n v="2025"/>
    <n v="1"/>
    <x v="4"/>
    <x v="0"/>
    <x v="1"/>
    <s v="Marketing Expense - West"/>
    <n v="-2978.31"/>
    <m/>
  </r>
  <r>
    <x v="289"/>
    <n v="3"/>
    <n v="2025"/>
    <n v="1"/>
    <x v="2"/>
    <x v="1"/>
    <x v="2"/>
    <s v="G&amp;A Revenue - North"/>
    <n v="7066.99"/>
    <n v="7140.19"/>
  </r>
  <r>
    <x v="289"/>
    <n v="3"/>
    <n v="2025"/>
    <n v="1"/>
    <x v="4"/>
    <x v="1"/>
    <x v="3"/>
    <s v="Marketing Revenue - South"/>
    <n v="9586.5400000000009"/>
    <n v="10220.719999999999"/>
  </r>
  <r>
    <x v="290"/>
    <n v="3"/>
    <n v="2025"/>
    <n v="1"/>
    <x v="1"/>
    <x v="0"/>
    <x v="3"/>
    <s v="R&amp;D Expense - South"/>
    <n v="-8810.94"/>
    <m/>
  </r>
  <r>
    <x v="291"/>
    <n v="3"/>
    <n v="2025"/>
    <n v="1"/>
    <x v="7"/>
    <x v="0"/>
    <x v="1"/>
    <s v="Operations Expense - West"/>
    <n v="-12141.12"/>
    <m/>
  </r>
  <r>
    <x v="292"/>
    <n v="4"/>
    <n v="2025"/>
    <n v="2"/>
    <x v="5"/>
    <x v="0"/>
    <x v="0"/>
    <s v="HR Expense - East"/>
    <n v="-1260.79"/>
    <m/>
  </r>
  <r>
    <x v="292"/>
    <n v="4"/>
    <n v="2025"/>
    <n v="2"/>
    <x v="2"/>
    <x v="1"/>
    <x v="0"/>
    <s v="G&amp;A Revenue - East"/>
    <n v="6711.57"/>
    <n v="7287.76"/>
  </r>
  <r>
    <x v="292"/>
    <n v="4"/>
    <n v="2025"/>
    <n v="2"/>
    <x v="7"/>
    <x v="1"/>
    <x v="3"/>
    <s v="Operations Revenue - South"/>
    <n v="14571.18"/>
    <n v="14577.6"/>
  </r>
  <r>
    <x v="292"/>
    <n v="4"/>
    <n v="2025"/>
    <n v="2"/>
    <x v="1"/>
    <x v="1"/>
    <x v="3"/>
    <s v="R&amp;D Revenue - South"/>
    <n v="11350.48"/>
    <n v="11145.58"/>
  </r>
  <r>
    <x v="293"/>
    <n v="4"/>
    <n v="2025"/>
    <n v="2"/>
    <x v="0"/>
    <x v="0"/>
    <x v="1"/>
    <s v="Services Expense - West"/>
    <n v="-23340.67"/>
    <m/>
  </r>
  <r>
    <x v="293"/>
    <n v="4"/>
    <n v="2025"/>
    <n v="2"/>
    <x v="3"/>
    <x v="0"/>
    <x v="3"/>
    <s v="Subscriptions Expense - South"/>
    <n v="-29821.75"/>
    <m/>
  </r>
  <r>
    <x v="294"/>
    <n v="4"/>
    <n v="2025"/>
    <n v="2"/>
    <x v="7"/>
    <x v="0"/>
    <x v="3"/>
    <s v="Operations Expense - South"/>
    <n v="-16027.13"/>
    <m/>
  </r>
  <r>
    <x v="295"/>
    <n v="4"/>
    <n v="2025"/>
    <n v="2"/>
    <x v="4"/>
    <x v="0"/>
    <x v="1"/>
    <s v="Marketing Expense - West"/>
    <n v="-14144.05"/>
    <m/>
  </r>
  <r>
    <x v="295"/>
    <n v="4"/>
    <n v="2025"/>
    <n v="2"/>
    <x v="1"/>
    <x v="0"/>
    <x v="1"/>
    <s v="R&amp;D Expense - West"/>
    <n v="-9175.9500000000007"/>
    <m/>
  </r>
  <r>
    <x v="295"/>
    <n v="4"/>
    <n v="2025"/>
    <n v="2"/>
    <x v="6"/>
    <x v="0"/>
    <x v="2"/>
    <s v="Sales Expense - North"/>
    <n v="-44333.4"/>
    <m/>
  </r>
  <r>
    <x v="295"/>
    <n v="4"/>
    <n v="2025"/>
    <n v="2"/>
    <x v="4"/>
    <x v="0"/>
    <x v="2"/>
    <s v="Marketing Expense - North"/>
    <n v="-4363.32"/>
    <m/>
  </r>
  <r>
    <x v="295"/>
    <n v="4"/>
    <n v="2025"/>
    <n v="2"/>
    <x v="5"/>
    <x v="1"/>
    <x v="2"/>
    <s v="HR Revenue - North"/>
    <n v="4128.4399999999996"/>
    <n v="4483.6099999999997"/>
  </r>
  <r>
    <x v="296"/>
    <n v="4"/>
    <n v="2025"/>
    <n v="2"/>
    <x v="6"/>
    <x v="0"/>
    <x v="1"/>
    <s v="Sales Expense - West"/>
    <n v="-34978.67"/>
    <m/>
  </r>
  <r>
    <x v="296"/>
    <n v="4"/>
    <n v="2025"/>
    <n v="2"/>
    <x v="0"/>
    <x v="1"/>
    <x v="3"/>
    <s v="Services Revenue - South"/>
    <n v="18314.27"/>
    <n v="18107.87"/>
  </r>
  <r>
    <x v="296"/>
    <n v="4"/>
    <n v="2025"/>
    <n v="2"/>
    <x v="0"/>
    <x v="0"/>
    <x v="3"/>
    <s v="Services Expense - South"/>
    <n v="-7813.61"/>
    <m/>
  </r>
  <r>
    <x v="296"/>
    <n v="4"/>
    <n v="2025"/>
    <n v="2"/>
    <x v="4"/>
    <x v="0"/>
    <x v="3"/>
    <s v="Marketing Expense - South"/>
    <n v="-2655.59"/>
    <m/>
  </r>
  <r>
    <x v="297"/>
    <n v="4"/>
    <n v="2025"/>
    <n v="2"/>
    <x v="7"/>
    <x v="1"/>
    <x v="0"/>
    <s v="Operations Revenue - East"/>
    <n v="20284.830000000002"/>
    <n v="20207.72"/>
  </r>
  <r>
    <x v="297"/>
    <n v="4"/>
    <n v="2025"/>
    <n v="2"/>
    <x v="6"/>
    <x v="0"/>
    <x v="3"/>
    <s v="Sales Expense - South"/>
    <n v="-40621.769999999997"/>
    <m/>
  </r>
  <r>
    <x v="298"/>
    <n v="4"/>
    <n v="2025"/>
    <n v="2"/>
    <x v="4"/>
    <x v="0"/>
    <x v="0"/>
    <s v="Marketing Expense - East"/>
    <n v="-5053.88"/>
    <m/>
  </r>
  <r>
    <x v="298"/>
    <n v="4"/>
    <n v="2025"/>
    <n v="2"/>
    <x v="3"/>
    <x v="0"/>
    <x v="1"/>
    <s v="Subscriptions Expense - West"/>
    <n v="-13647.6"/>
    <m/>
  </r>
  <r>
    <x v="298"/>
    <n v="4"/>
    <n v="2025"/>
    <n v="2"/>
    <x v="6"/>
    <x v="1"/>
    <x v="3"/>
    <s v="Sales Revenue - South"/>
    <n v="31544.12"/>
    <n v="34217.040000000001"/>
  </r>
  <r>
    <x v="299"/>
    <n v="4"/>
    <n v="2025"/>
    <n v="2"/>
    <x v="4"/>
    <x v="1"/>
    <x v="0"/>
    <s v="Marketing Revenue - East"/>
    <n v="9129.85"/>
    <n v="8892.89"/>
  </r>
  <r>
    <x v="299"/>
    <n v="4"/>
    <n v="2025"/>
    <n v="2"/>
    <x v="1"/>
    <x v="0"/>
    <x v="2"/>
    <s v="R&amp;D Expense - North"/>
    <n v="-15073.25"/>
    <m/>
  </r>
  <r>
    <x v="300"/>
    <n v="4"/>
    <n v="2025"/>
    <n v="2"/>
    <x v="7"/>
    <x v="0"/>
    <x v="0"/>
    <s v="Operations Expense - East"/>
    <n v="-24999.7"/>
    <m/>
  </r>
  <r>
    <x v="300"/>
    <n v="4"/>
    <n v="2025"/>
    <n v="2"/>
    <x v="0"/>
    <x v="1"/>
    <x v="1"/>
    <s v="Services Revenue - West"/>
    <n v="19137.77"/>
    <n v="20935.509999999998"/>
  </r>
  <r>
    <x v="300"/>
    <n v="4"/>
    <n v="2025"/>
    <n v="2"/>
    <x v="6"/>
    <x v="1"/>
    <x v="2"/>
    <s v="Sales Revenue - North"/>
    <n v="29218.49"/>
    <n v="28625.3"/>
  </r>
  <r>
    <x v="301"/>
    <n v="4"/>
    <n v="2025"/>
    <n v="2"/>
    <x v="1"/>
    <x v="1"/>
    <x v="0"/>
    <s v="R&amp;D Revenue - East"/>
    <n v="12493.52"/>
    <n v="13302.87"/>
  </r>
  <r>
    <x v="302"/>
    <n v="4"/>
    <n v="2025"/>
    <n v="2"/>
    <x v="0"/>
    <x v="0"/>
    <x v="0"/>
    <s v="Services Expense - East"/>
    <n v="-14378.04"/>
    <m/>
  </r>
  <r>
    <x v="302"/>
    <n v="4"/>
    <n v="2025"/>
    <n v="2"/>
    <x v="3"/>
    <x v="1"/>
    <x v="0"/>
    <s v="Subscriptions Revenue - East"/>
    <n v="32008.75"/>
    <n v="32898.07"/>
  </r>
  <r>
    <x v="302"/>
    <n v="4"/>
    <n v="2025"/>
    <n v="2"/>
    <x v="7"/>
    <x v="1"/>
    <x v="1"/>
    <s v="Operations Revenue - West"/>
    <n v="18669.96"/>
    <n v="19460.18"/>
  </r>
  <r>
    <x v="302"/>
    <n v="4"/>
    <n v="2025"/>
    <n v="2"/>
    <x v="2"/>
    <x v="1"/>
    <x v="1"/>
    <s v="G&amp;A Revenue - West"/>
    <n v="5600.4"/>
    <n v="5366.99"/>
  </r>
  <r>
    <x v="302"/>
    <n v="4"/>
    <n v="2025"/>
    <n v="2"/>
    <x v="3"/>
    <x v="1"/>
    <x v="3"/>
    <s v="Subscriptions Revenue - South"/>
    <n v="23922.2"/>
    <n v="25437.64"/>
  </r>
  <r>
    <x v="303"/>
    <n v="4"/>
    <n v="2025"/>
    <n v="2"/>
    <x v="4"/>
    <x v="1"/>
    <x v="1"/>
    <s v="Marketing Revenue - West"/>
    <n v="10198.39"/>
    <n v="10107.82"/>
  </r>
  <r>
    <x v="303"/>
    <n v="4"/>
    <n v="2025"/>
    <n v="2"/>
    <x v="4"/>
    <x v="1"/>
    <x v="3"/>
    <s v="Marketing Revenue - South"/>
    <n v="6851.64"/>
    <n v="6951.19"/>
  </r>
  <r>
    <x v="303"/>
    <n v="4"/>
    <n v="2025"/>
    <n v="2"/>
    <x v="2"/>
    <x v="0"/>
    <x v="3"/>
    <s v="G&amp;A Expense - South"/>
    <n v="-3840.67"/>
    <m/>
  </r>
  <r>
    <x v="304"/>
    <n v="4"/>
    <n v="2025"/>
    <n v="2"/>
    <x v="5"/>
    <x v="1"/>
    <x v="1"/>
    <s v="HR Revenue - West"/>
    <n v="4988.63"/>
    <n v="4707.5"/>
  </r>
  <r>
    <x v="304"/>
    <n v="4"/>
    <n v="2025"/>
    <n v="2"/>
    <x v="2"/>
    <x v="0"/>
    <x v="2"/>
    <s v="G&amp;A Expense - North"/>
    <n v="-2716.95"/>
    <m/>
  </r>
  <r>
    <x v="305"/>
    <n v="4"/>
    <n v="2025"/>
    <n v="2"/>
    <x v="5"/>
    <x v="1"/>
    <x v="0"/>
    <s v="HR Revenue - East"/>
    <n v="4256.6499999999996"/>
    <n v="4096.51"/>
  </r>
  <r>
    <x v="305"/>
    <n v="4"/>
    <n v="2025"/>
    <n v="2"/>
    <x v="2"/>
    <x v="0"/>
    <x v="0"/>
    <s v="G&amp;A Expense - East"/>
    <n v="-9069.6200000000008"/>
    <m/>
  </r>
  <r>
    <x v="305"/>
    <n v="4"/>
    <n v="2025"/>
    <n v="2"/>
    <x v="0"/>
    <x v="1"/>
    <x v="2"/>
    <s v="Services Revenue - North"/>
    <n v="19072"/>
    <n v="20350.830000000002"/>
  </r>
  <r>
    <x v="306"/>
    <n v="4"/>
    <n v="2025"/>
    <n v="2"/>
    <x v="5"/>
    <x v="0"/>
    <x v="1"/>
    <s v="HR Expense - West"/>
    <n v="-5686.65"/>
    <m/>
  </r>
  <r>
    <x v="306"/>
    <n v="4"/>
    <n v="2025"/>
    <n v="2"/>
    <x v="0"/>
    <x v="0"/>
    <x v="2"/>
    <s v="Services Expense - North"/>
    <n v="-7347.27"/>
    <m/>
  </r>
  <r>
    <x v="307"/>
    <n v="4"/>
    <n v="2025"/>
    <n v="2"/>
    <x v="3"/>
    <x v="1"/>
    <x v="1"/>
    <s v="Subscriptions Revenue - West"/>
    <n v="29977.360000000001"/>
    <n v="29553.46"/>
  </r>
  <r>
    <x v="307"/>
    <n v="4"/>
    <n v="2025"/>
    <n v="2"/>
    <x v="4"/>
    <x v="1"/>
    <x v="2"/>
    <s v="Marketing Revenue - North"/>
    <n v="7204.4"/>
    <n v="6862.51"/>
  </r>
  <r>
    <x v="307"/>
    <n v="4"/>
    <n v="2025"/>
    <n v="2"/>
    <x v="2"/>
    <x v="1"/>
    <x v="3"/>
    <s v="G&amp;A Revenue - South"/>
    <n v="4789.12"/>
    <n v="5196.3100000000004"/>
  </r>
  <r>
    <x v="308"/>
    <n v="4"/>
    <n v="2025"/>
    <n v="2"/>
    <x v="6"/>
    <x v="1"/>
    <x v="0"/>
    <s v="Sales Revenue - East"/>
    <n v="29310.17"/>
    <n v="30814.71"/>
  </r>
  <r>
    <x v="308"/>
    <n v="4"/>
    <n v="2025"/>
    <n v="2"/>
    <x v="1"/>
    <x v="0"/>
    <x v="0"/>
    <s v="R&amp;D Expense - East"/>
    <n v="-7953.46"/>
    <m/>
  </r>
  <r>
    <x v="308"/>
    <n v="4"/>
    <n v="2025"/>
    <n v="2"/>
    <x v="5"/>
    <x v="0"/>
    <x v="2"/>
    <s v="HR Expense - North"/>
    <n v="-2079.91"/>
    <m/>
  </r>
  <r>
    <x v="308"/>
    <n v="4"/>
    <n v="2025"/>
    <n v="2"/>
    <x v="5"/>
    <x v="1"/>
    <x v="3"/>
    <s v="HR Revenue - South"/>
    <n v="3491.58"/>
    <n v="3770.64"/>
  </r>
  <r>
    <x v="309"/>
    <n v="4"/>
    <n v="2025"/>
    <n v="2"/>
    <x v="6"/>
    <x v="0"/>
    <x v="0"/>
    <s v="Sales Expense - East"/>
    <n v="-42612.72"/>
    <m/>
  </r>
  <r>
    <x v="309"/>
    <n v="4"/>
    <n v="2025"/>
    <n v="2"/>
    <x v="1"/>
    <x v="1"/>
    <x v="2"/>
    <s v="R&amp;D Revenue - North"/>
    <n v="10061.09"/>
    <n v="10197.5"/>
  </r>
  <r>
    <x v="309"/>
    <n v="4"/>
    <n v="2025"/>
    <n v="2"/>
    <x v="2"/>
    <x v="1"/>
    <x v="2"/>
    <s v="G&amp;A Revenue - North"/>
    <n v="6883.58"/>
    <n v="7303.57"/>
  </r>
  <r>
    <x v="310"/>
    <n v="4"/>
    <n v="2025"/>
    <n v="2"/>
    <x v="1"/>
    <x v="0"/>
    <x v="3"/>
    <s v="R&amp;D Expense - South"/>
    <n v="-8914.57"/>
    <m/>
  </r>
  <r>
    <x v="311"/>
    <n v="4"/>
    <n v="2025"/>
    <n v="2"/>
    <x v="2"/>
    <x v="0"/>
    <x v="1"/>
    <s v="G&amp;A Expense - West"/>
    <n v="-3014.39"/>
    <m/>
  </r>
  <r>
    <x v="312"/>
    <n v="4"/>
    <n v="2025"/>
    <n v="2"/>
    <x v="5"/>
    <x v="0"/>
    <x v="3"/>
    <s v="HR Expense - South"/>
    <n v="-2707.09"/>
    <m/>
  </r>
  <r>
    <x v="313"/>
    <n v="4"/>
    <n v="2025"/>
    <n v="2"/>
    <x v="0"/>
    <x v="1"/>
    <x v="0"/>
    <s v="Services Revenue - East"/>
    <n v="26725.68"/>
    <n v="26768.69"/>
  </r>
  <r>
    <x v="313"/>
    <n v="4"/>
    <n v="2025"/>
    <n v="2"/>
    <x v="1"/>
    <x v="1"/>
    <x v="1"/>
    <s v="R&amp;D Revenue - West"/>
    <n v="12206.17"/>
    <n v="12387.98"/>
  </r>
  <r>
    <x v="313"/>
    <n v="4"/>
    <n v="2025"/>
    <n v="2"/>
    <x v="3"/>
    <x v="0"/>
    <x v="2"/>
    <s v="Subscriptions Expense - North"/>
    <n v="-14209.73"/>
    <m/>
  </r>
  <r>
    <x v="314"/>
    <n v="4"/>
    <n v="2025"/>
    <n v="2"/>
    <x v="6"/>
    <x v="1"/>
    <x v="1"/>
    <s v="Sales Revenue - West"/>
    <n v="24613.13"/>
    <n v="23880.05"/>
  </r>
  <r>
    <x v="315"/>
    <n v="4"/>
    <n v="2025"/>
    <n v="2"/>
    <x v="3"/>
    <x v="0"/>
    <x v="0"/>
    <s v="Subscriptions Expense - East"/>
    <n v="-12224.44"/>
    <m/>
  </r>
  <r>
    <x v="315"/>
    <n v="4"/>
    <n v="2025"/>
    <n v="2"/>
    <x v="3"/>
    <x v="1"/>
    <x v="2"/>
    <s v="Subscriptions Revenue - North"/>
    <n v="27761.94"/>
    <n v="28059.42"/>
  </r>
  <r>
    <x v="315"/>
    <n v="4"/>
    <n v="2025"/>
    <n v="2"/>
    <x v="7"/>
    <x v="1"/>
    <x v="2"/>
    <s v="Operations Revenue - North"/>
    <n v="16626.12"/>
    <n v="15845.54"/>
  </r>
  <r>
    <x v="315"/>
    <n v="4"/>
    <n v="2025"/>
    <n v="2"/>
    <x v="7"/>
    <x v="0"/>
    <x v="2"/>
    <s v="Operations Expense - North"/>
    <n v="-6601.7"/>
    <m/>
  </r>
  <r>
    <x v="316"/>
    <n v="4"/>
    <n v="2025"/>
    <n v="2"/>
    <x v="7"/>
    <x v="0"/>
    <x v="1"/>
    <s v="Operations Expense - West"/>
    <n v="-9096.94"/>
    <m/>
  </r>
  <r>
    <x v="317"/>
    <n v="5"/>
    <n v="2025"/>
    <n v="2"/>
    <x v="0"/>
    <x v="0"/>
    <x v="0"/>
    <s v="Services Expense - East"/>
    <n v="-19840.82"/>
    <m/>
  </r>
  <r>
    <x v="317"/>
    <n v="5"/>
    <n v="2025"/>
    <n v="2"/>
    <x v="2"/>
    <x v="0"/>
    <x v="0"/>
    <s v="G&amp;A Expense - East"/>
    <n v="-4170.33"/>
    <m/>
  </r>
  <r>
    <x v="318"/>
    <n v="5"/>
    <n v="2025"/>
    <n v="2"/>
    <x v="6"/>
    <x v="0"/>
    <x v="0"/>
    <s v="Sales Expense - East"/>
    <n v="-16935.330000000002"/>
    <m/>
  </r>
  <r>
    <x v="318"/>
    <n v="5"/>
    <n v="2025"/>
    <n v="2"/>
    <x v="7"/>
    <x v="0"/>
    <x v="0"/>
    <s v="Operations Expense - East"/>
    <n v="-23783.63"/>
    <m/>
  </r>
  <r>
    <x v="318"/>
    <n v="5"/>
    <n v="2025"/>
    <n v="2"/>
    <x v="7"/>
    <x v="0"/>
    <x v="1"/>
    <s v="Operations Expense - West"/>
    <n v="-7530.41"/>
    <m/>
  </r>
  <r>
    <x v="318"/>
    <n v="5"/>
    <n v="2025"/>
    <n v="2"/>
    <x v="0"/>
    <x v="1"/>
    <x v="3"/>
    <s v="Services Revenue - South"/>
    <n v="20815.5"/>
    <n v="20902.88"/>
  </r>
  <r>
    <x v="318"/>
    <n v="5"/>
    <n v="2025"/>
    <n v="2"/>
    <x v="4"/>
    <x v="0"/>
    <x v="3"/>
    <s v="Marketing Expense - South"/>
    <n v="-5885.89"/>
    <m/>
  </r>
  <r>
    <x v="319"/>
    <n v="5"/>
    <n v="2025"/>
    <n v="2"/>
    <x v="1"/>
    <x v="1"/>
    <x v="2"/>
    <s v="R&amp;D Revenue - North"/>
    <n v="13617.79"/>
    <n v="13617.13"/>
  </r>
  <r>
    <x v="320"/>
    <n v="5"/>
    <n v="2025"/>
    <n v="2"/>
    <x v="6"/>
    <x v="0"/>
    <x v="1"/>
    <s v="Sales Expense - West"/>
    <n v="-36520.450000000004"/>
    <m/>
  </r>
  <r>
    <x v="320"/>
    <n v="5"/>
    <n v="2025"/>
    <n v="2"/>
    <x v="0"/>
    <x v="0"/>
    <x v="1"/>
    <s v="Services Expense - West"/>
    <n v="-12487.55"/>
    <m/>
  </r>
  <r>
    <x v="320"/>
    <n v="5"/>
    <n v="2025"/>
    <n v="2"/>
    <x v="1"/>
    <x v="0"/>
    <x v="1"/>
    <s v="R&amp;D Expense - West"/>
    <n v="-22606.11"/>
    <m/>
  </r>
  <r>
    <x v="321"/>
    <n v="5"/>
    <n v="2025"/>
    <n v="2"/>
    <x v="4"/>
    <x v="1"/>
    <x v="1"/>
    <s v="Marketing Revenue - West"/>
    <n v="8928.0400000000009"/>
    <n v="9800.06"/>
  </r>
  <r>
    <x v="321"/>
    <n v="5"/>
    <n v="2025"/>
    <n v="2"/>
    <x v="0"/>
    <x v="0"/>
    <x v="2"/>
    <s v="Services Expense - North"/>
    <n v="-32015.37"/>
    <m/>
  </r>
  <r>
    <x v="322"/>
    <n v="5"/>
    <n v="2025"/>
    <n v="2"/>
    <x v="3"/>
    <x v="1"/>
    <x v="2"/>
    <s v="Subscriptions Revenue - North"/>
    <n v="29332.560000000001"/>
    <n v="31706.94"/>
  </r>
  <r>
    <x v="322"/>
    <n v="5"/>
    <n v="2025"/>
    <n v="2"/>
    <x v="2"/>
    <x v="0"/>
    <x v="2"/>
    <s v="G&amp;A Expense - North"/>
    <n v="-4060.81"/>
    <m/>
  </r>
  <r>
    <x v="323"/>
    <n v="5"/>
    <n v="2025"/>
    <n v="2"/>
    <x v="5"/>
    <x v="1"/>
    <x v="0"/>
    <s v="HR Revenue - East"/>
    <n v="5352.07"/>
    <n v="5262.56"/>
  </r>
  <r>
    <x v="323"/>
    <n v="5"/>
    <n v="2025"/>
    <n v="2"/>
    <x v="3"/>
    <x v="1"/>
    <x v="1"/>
    <s v="Subscriptions Revenue - West"/>
    <n v="30587.87"/>
    <n v="30653.07"/>
  </r>
  <r>
    <x v="323"/>
    <n v="5"/>
    <n v="2025"/>
    <n v="2"/>
    <x v="1"/>
    <x v="1"/>
    <x v="1"/>
    <s v="R&amp;D Revenue - West"/>
    <n v="14859.32"/>
    <n v="15130.77"/>
  </r>
  <r>
    <x v="323"/>
    <n v="5"/>
    <n v="2025"/>
    <n v="2"/>
    <x v="7"/>
    <x v="0"/>
    <x v="2"/>
    <s v="Operations Expense - North"/>
    <n v="-20562.560000000001"/>
    <m/>
  </r>
  <r>
    <x v="323"/>
    <n v="5"/>
    <n v="2025"/>
    <n v="2"/>
    <x v="5"/>
    <x v="0"/>
    <x v="2"/>
    <s v="HR Expense - North"/>
    <n v="-5045.5"/>
    <m/>
  </r>
  <r>
    <x v="323"/>
    <n v="5"/>
    <n v="2025"/>
    <n v="2"/>
    <x v="1"/>
    <x v="0"/>
    <x v="3"/>
    <s v="R&amp;D Expense - South"/>
    <n v="-19562.05"/>
    <m/>
  </r>
  <r>
    <x v="324"/>
    <n v="5"/>
    <n v="2025"/>
    <n v="2"/>
    <x v="3"/>
    <x v="0"/>
    <x v="1"/>
    <s v="Subscriptions Expense - West"/>
    <n v="-32514.38"/>
    <m/>
  </r>
  <r>
    <x v="324"/>
    <n v="5"/>
    <n v="2025"/>
    <n v="2"/>
    <x v="6"/>
    <x v="1"/>
    <x v="3"/>
    <s v="Sales Revenue - South"/>
    <n v="23217.46"/>
    <n v="24635"/>
  </r>
  <r>
    <x v="325"/>
    <n v="5"/>
    <n v="2025"/>
    <n v="2"/>
    <x v="4"/>
    <x v="0"/>
    <x v="0"/>
    <s v="Marketing Expense - East"/>
    <n v="-6010.74"/>
    <m/>
  </r>
  <r>
    <x v="325"/>
    <n v="5"/>
    <n v="2025"/>
    <n v="2"/>
    <x v="1"/>
    <x v="1"/>
    <x v="0"/>
    <s v="R&amp;D Revenue - East"/>
    <n v="15924.19"/>
    <n v="16290.79"/>
  </r>
  <r>
    <x v="325"/>
    <n v="5"/>
    <n v="2025"/>
    <n v="2"/>
    <x v="5"/>
    <x v="0"/>
    <x v="1"/>
    <s v="HR Expense - West"/>
    <n v="-3518.98"/>
    <m/>
  </r>
  <r>
    <x v="325"/>
    <n v="5"/>
    <n v="2025"/>
    <n v="2"/>
    <x v="1"/>
    <x v="1"/>
    <x v="3"/>
    <s v="R&amp;D Revenue - South"/>
    <n v="12829.01"/>
    <n v="13949.65"/>
  </r>
  <r>
    <x v="325"/>
    <n v="5"/>
    <n v="2025"/>
    <n v="2"/>
    <x v="2"/>
    <x v="1"/>
    <x v="3"/>
    <s v="G&amp;A Revenue - South"/>
    <n v="6557.61"/>
    <n v="6918.57"/>
  </r>
  <r>
    <x v="325"/>
    <n v="5"/>
    <n v="2025"/>
    <n v="2"/>
    <x v="2"/>
    <x v="0"/>
    <x v="3"/>
    <s v="G&amp;A Expense - South"/>
    <n v="-3881.04"/>
    <m/>
  </r>
  <r>
    <x v="326"/>
    <n v="5"/>
    <n v="2025"/>
    <n v="2"/>
    <x v="3"/>
    <x v="0"/>
    <x v="0"/>
    <s v="Subscriptions Expense - East"/>
    <n v="-13735.58"/>
    <m/>
  </r>
  <r>
    <x v="327"/>
    <n v="5"/>
    <n v="2025"/>
    <n v="2"/>
    <x v="5"/>
    <x v="1"/>
    <x v="1"/>
    <s v="HR Revenue - West"/>
    <n v="6010.11"/>
    <n v="6477.85"/>
  </r>
  <r>
    <x v="327"/>
    <n v="5"/>
    <n v="2025"/>
    <n v="2"/>
    <x v="2"/>
    <x v="1"/>
    <x v="1"/>
    <s v="G&amp;A Revenue - West"/>
    <n v="5086.53"/>
    <n v="5398.48"/>
  </r>
  <r>
    <x v="327"/>
    <n v="5"/>
    <n v="2025"/>
    <n v="2"/>
    <x v="7"/>
    <x v="1"/>
    <x v="3"/>
    <s v="Operations Revenue - South"/>
    <n v="17186.689999999999"/>
    <n v="17889.25"/>
  </r>
  <r>
    <x v="328"/>
    <n v="5"/>
    <n v="2025"/>
    <n v="2"/>
    <x v="5"/>
    <x v="0"/>
    <x v="0"/>
    <s v="HR Expense - East"/>
    <n v="-6761.63"/>
    <m/>
  </r>
  <r>
    <x v="328"/>
    <n v="5"/>
    <n v="2025"/>
    <n v="2"/>
    <x v="1"/>
    <x v="0"/>
    <x v="0"/>
    <s v="R&amp;D Expense - East"/>
    <n v="-12185.85"/>
    <m/>
  </r>
  <r>
    <x v="328"/>
    <n v="5"/>
    <n v="2025"/>
    <n v="2"/>
    <x v="2"/>
    <x v="1"/>
    <x v="0"/>
    <s v="G&amp;A Revenue - East"/>
    <n v="6018.23"/>
    <n v="5948.29"/>
  </r>
  <r>
    <x v="329"/>
    <n v="5"/>
    <n v="2025"/>
    <n v="2"/>
    <x v="4"/>
    <x v="0"/>
    <x v="2"/>
    <s v="Marketing Expense - North"/>
    <n v="-12518.93"/>
    <m/>
  </r>
  <r>
    <x v="329"/>
    <n v="5"/>
    <n v="2025"/>
    <n v="2"/>
    <x v="5"/>
    <x v="1"/>
    <x v="2"/>
    <s v="HR Revenue - North"/>
    <n v="4465.67"/>
    <n v="4304.55"/>
  </r>
  <r>
    <x v="330"/>
    <n v="5"/>
    <n v="2025"/>
    <n v="2"/>
    <x v="6"/>
    <x v="1"/>
    <x v="0"/>
    <s v="Sales Revenue - East"/>
    <n v="35514.32"/>
    <n v="33762.11"/>
  </r>
  <r>
    <x v="330"/>
    <n v="5"/>
    <n v="2025"/>
    <n v="2"/>
    <x v="0"/>
    <x v="1"/>
    <x v="0"/>
    <s v="Services Revenue - East"/>
    <n v="25896.54"/>
    <n v="28164.87"/>
  </r>
  <r>
    <x v="331"/>
    <n v="5"/>
    <n v="2025"/>
    <n v="2"/>
    <x v="7"/>
    <x v="1"/>
    <x v="1"/>
    <s v="Operations Revenue - West"/>
    <n v="13636.04"/>
    <n v="12986.44"/>
  </r>
  <r>
    <x v="331"/>
    <n v="5"/>
    <n v="2025"/>
    <n v="2"/>
    <x v="2"/>
    <x v="0"/>
    <x v="1"/>
    <s v="G&amp;A Expense - West"/>
    <n v="-5620.51"/>
    <m/>
  </r>
  <r>
    <x v="332"/>
    <n v="5"/>
    <n v="2025"/>
    <n v="2"/>
    <x v="1"/>
    <x v="0"/>
    <x v="2"/>
    <s v="R&amp;D Expense - North"/>
    <n v="-7651.58"/>
    <m/>
  </r>
  <r>
    <x v="332"/>
    <n v="5"/>
    <n v="2025"/>
    <n v="2"/>
    <x v="7"/>
    <x v="0"/>
    <x v="3"/>
    <s v="Operations Expense - South"/>
    <n v="-11471.96"/>
    <m/>
  </r>
  <r>
    <x v="332"/>
    <n v="5"/>
    <n v="2025"/>
    <n v="2"/>
    <x v="5"/>
    <x v="1"/>
    <x v="3"/>
    <s v="HR Revenue - South"/>
    <n v="3763.24"/>
    <n v="3933.31"/>
  </r>
  <r>
    <x v="333"/>
    <n v="5"/>
    <n v="2025"/>
    <n v="2"/>
    <x v="4"/>
    <x v="1"/>
    <x v="2"/>
    <s v="Marketing Revenue - North"/>
    <n v="9969.4500000000007"/>
    <n v="10119.01"/>
  </r>
  <r>
    <x v="334"/>
    <n v="5"/>
    <n v="2025"/>
    <n v="2"/>
    <x v="0"/>
    <x v="1"/>
    <x v="1"/>
    <s v="Services Revenue - West"/>
    <n v="19112.47"/>
    <n v="18169.18"/>
  </r>
  <r>
    <x v="335"/>
    <n v="5"/>
    <n v="2025"/>
    <n v="2"/>
    <x v="6"/>
    <x v="0"/>
    <x v="2"/>
    <s v="Sales Expense - North"/>
    <n v="-28609.94"/>
    <m/>
  </r>
  <r>
    <x v="335"/>
    <n v="5"/>
    <n v="2025"/>
    <n v="2"/>
    <x v="0"/>
    <x v="0"/>
    <x v="3"/>
    <s v="Services Expense - South"/>
    <n v="-16590.330000000002"/>
    <m/>
  </r>
  <r>
    <x v="336"/>
    <n v="5"/>
    <n v="2025"/>
    <n v="2"/>
    <x v="4"/>
    <x v="0"/>
    <x v="1"/>
    <s v="Marketing Expense - West"/>
    <n v="-5099.7"/>
    <m/>
  </r>
  <r>
    <x v="337"/>
    <n v="5"/>
    <n v="2025"/>
    <n v="2"/>
    <x v="5"/>
    <x v="0"/>
    <x v="3"/>
    <s v="HR Expense - South"/>
    <n v="-1333.81"/>
    <m/>
  </r>
  <r>
    <x v="338"/>
    <n v="5"/>
    <n v="2025"/>
    <n v="2"/>
    <x v="6"/>
    <x v="1"/>
    <x v="2"/>
    <s v="Sales Revenue - North"/>
    <n v="24500.95"/>
    <n v="23571.88"/>
  </r>
  <r>
    <x v="338"/>
    <n v="5"/>
    <n v="2025"/>
    <n v="2"/>
    <x v="4"/>
    <x v="1"/>
    <x v="3"/>
    <s v="Marketing Revenue - South"/>
    <n v="8413.1200000000008"/>
    <n v="9222.7800000000007"/>
  </r>
  <r>
    <x v="339"/>
    <n v="5"/>
    <n v="2025"/>
    <n v="2"/>
    <x v="3"/>
    <x v="1"/>
    <x v="0"/>
    <s v="Subscriptions Revenue - East"/>
    <n v="30026.41"/>
    <n v="31788.84"/>
  </r>
  <r>
    <x v="339"/>
    <n v="5"/>
    <n v="2025"/>
    <n v="2"/>
    <x v="6"/>
    <x v="1"/>
    <x v="1"/>
    <s v="Sales Revenue - West"/>
    <n v="25968.74"/>
    <n v="25083.14"/>
  </r>
  <r>
    <x v="339"/>
    <n v="5"/>
    <n v="2025"/>
    <n v="2"/>
    <x v="2"/>
    <x v="1"/>
    <x v="2"/>
    <s v="G&amp;A Revenue - North"/>
    <n v="5925.3"/>
    <n v="5622.89"/>
  </r>
  <r>
    <x v="339"/>
    <n v="5"/>
    <n v="2025"/>
    <n v="2"/>
    <x v="3"/>
    <x v="1"/>
    <x v="3"/>
    <s v="Subscriptions Revenue - South"/>
    <n v="19059.27"/>
    <n v="20760.759999999998"/>
  </r>
  <r>
    <x v="340"/>
    <n v="5"/>
    <n v="2025"/>
    <n v="2"/>
    <x v="0"/>
    <x v="1"/>
    <x v="2"/>
    <s v="Services Revenue - North"/>
    <n v="24318.01"/>
    <n v="22840.83"/>
  </r>
  <r>
    <x v="340"/>
    <n v="5"/>
    <n v="2025"/>
    <n v="2"/>
    <x v="7"/>
    <x v="1"/>
    <x v="2"/>
    <s v="Operations Revenue - North"/>
    <n v="15585.47"/>
    <n v="14639.42"/>
  </r>
  <r>
    <x v="340"/>
    <n v="5"/>
    <n v="2025"/>
    <n v="2"/>
    <x v="3"/>
    <x v="0"/>
    <x v="3"/>
    <s v="Subscriptions Expense - South"/>
    <n v="-28162.97"/>
    <m/>
  </r>
  <r>
    <x v="341"/>
    <n v="5"/>
    <n v="2025"/>
    <n v="2"/>
    <x v="4"/>
    <x v="1"/>
    <x v="0"/>
    <s v="Marketing Revenue - East"/>
    <n v="9127.18"/>
    <n v="8944.0499999999993"/>
  </r>
  <r>
    <x v="342"/>
    <n v="5"/>
    <n v="2025"/>
    <n v="2"/>
    <x v="7"/>
    <x v="1"/>
    <x v="0"/>
    <s v="Operations Revenue - East"/>
    <n v="17391.75"/>
    <n v="19086.21"/>
  </r>
  <r>
    <x v="342"/>
    <n v="5"/>
    <n v="2025"/>
    <n v="2"/>
    <x v="3"/>
    <x v="0"/>
    <x v="2"/>
    <s v="Subscriptions Expense - North"/>
    <n v="-22523.119999999999"/>
    <m/>
  </r>
  <r>
    <x v="342"/>
    <n v="5"/>
    <n v="2025"/>
    <n v="2"/>
    <x v="6"/>
    <x v="0"/>
    <x v="3"/>
    <s v="Sales Expense - South"/>
    <n v="-32056"/>
    <m/>
  </r>
  <r>
    <x v="343"/>
    <n v="6"/>
    <n v="2025"/>
    <n v="2"/>
    <x v="7"/>
    <x v="0"/>
    <x v="0"/>
    <s v="Operations Expense - East"/>
    <n v="-15500.18"/>
    <m/>
  </r>
  <r>
    <x v="344"/>
    <n v="6"/>
    <n v="2025"/>
    <n v="2"/>
    <x v="3"/>
    <x v="1"/>
    <x v="2"/>
    <s v="Subscriptions Revenue - North"/>
    <n v="28146.36"/>
    <n v="26316.9"/>
  </r>
  <r>
    <x v="344"/>
    <n v="6"/>
    <n v="2025"/>
    <n v="2"/>
    <x v="7"/>
    <x v="1"/>
    <x v="2"/>
    <s v="Operations Revenue - North"/>
    <n v="19518.580000000002"/>
    <n v="21432.01"/>
  </r>
  <r>
    <x v="344"/>
    <n v="6"/>
    <n v="2025"/>
    <n v="2"/>
    <x v="6"/>
    <x v="0"/>
    <x v="3"/>
    <s v="Sales Expense - South"/>
    <n v="-10253.85"/>
    <m/>
  </r>
  <r>
    <x v="345"/>
    <n v="6"/>
    <n v="2025"/>
    <n v="2"/>
    <x v="5"/>
    <x v="0"/>
    <x v="0"/>
    <s v="HR Expense - East"/>
    <n v="-7145.3"/>
    <m/>
  </r>
  <r>
    <x v="345"/>
    <n v="6"/>
    <n v="2025"/>
    <n v="2"/>
    <x v="2"/>
    <x v="0"/>
    <x v="1"/>
    <s v="G&amp;A Expense - West"/>
    <n v="-2107.02"/>
    <m/>
  </r>
  <r>
    <x v="345"/>
    <n v="6"/>
    <n v="2025"/>
    <n v="2"/>
    <x v="1"/>
    <x v="1"/>
    <x v="3"/>
    <s v="R&amp;D Revenue - South"/>
    <n v="11006.58"/>
    <n v="10422.780000000001"/>
  </r>
  <r>
    <x v="346"/>
    <n v="6"/>
    <n v="2025"/>
    <n v="2"/>
    <x v="2"/>
    <x v="1"/>
    <x v="1"/>
    <s v="G&amp;A Revenue - West"/>
    <n v="6966.08"/>
    <n v="6800.41"/>
  </r>
  <r>
    <x v="347"/>
    <n v="6"/>
    <n v="2025"/>
    <n v="2"/>
    <x v="1"/>
    <x v="1"/>
    <x v="2"/>
    <s v="R&amp;D Revenue - North"/>
    <n v="10924.54"/>
    <n v="11082.36"/>
  </r>
  <r>
    <x v="347"/>
    <n v="6"/>
    <n v="2025"/>
    <n v="2"/>
    <x v="6"/>
    <x v="1"/>
    <x v="3"/>
    <s v="Sales Revenue - South"/>
    <n v="30126.04"/>
    <n v="30208.86"/>
  </r>
  <r>
    <x v="347"/>
    <n v="6"/>
    <n v="2025"/>
    <n v="2"/>
    <x v="1"/>
    <x v="0"/>
    <x v="3"/>
    <s v="R&amp;D Expense - South"/>
    <n v="-11932.25"/>
    <m/>
  </r>
  <r>
    <x v="348"/>
    <n v="6"/>
    <n v="2025"/>
    <n v="2"/>
    <x v="0"/>
    <x v="1"/>
    <x v="1"/>
    <s v="Services Revenue - West"/>
    <n v="18503.05"/>
    <n v="17716.25"/>
  </r>
  <r>
    <x v="348"/>
    <n v="6"/>
    <n v="2025"/>
    <n v="2"/>
    <x v="7"/>
    <x v="0"/>
    <x v="1"/>
    <s v="Operations Expense - West"/>
    <n v="-5553.54"/>
    <m/>
  </r>
  <r>
    <x v="348"/>
    <n v="6"/>
    <n v="2025"/>
    <n v="2"/>
    <x v="3"/>
    <x v="0"/>
    <x v="3"/>
    <s v="Subscriptions Expense - South"/>
    <n v="-15430.47"/>
    <m/>
  </r>
  <r>
    <x v="349"/>
    <n v="6"/>
    <n v="2025"/>
    <n v="2"/>
    <x v="5"/>
    <x v="1"/>
    <x v="0"/>
    <s v="HR Revenue - East"/>
    <n v="5573.33"/>
    <n v="5627.39"/>
  </r>
  <r>
    <x v="350"/>
    <n v="6"/>
    <n v="2025"/>
    <n v="2"/>
    <x v="2"/>
    <x v="1"/>
    <x v="2"/>
    <s v="G&amp;A Revenue - North"/>
    <n v="7060.4"/>
    <n v="7044.39"/>
  </r>
  <r>
    <x v="351"/>
    <n v="6"/>
    <n v="2025"/>
    <n v="2"/>
    <x v="2"/>
    <x v="1"/>
    <x v="0"/>
    <s v="G&amp;A Revenue - East"/>
    <n v="5552.41"/>
    <n v="5405.89"/>
  </r>
  <r>
    <x v="351"/>
    <n v="6"/>
    <n v="2025"/>
    <n v="2"/>
    <x v="4"/>
    <x v="1"/>
    <x v="2"/>
    <s v="Marketing Revenue - North"/>
    <n v="9620.5300000000007"/>
    <n v="9486.7099999999991"/>
  </r>
  <r>
    <x v="351"/>
    <n v="6"/>
    <n v="2025"/>
    <n v="2"/>
    <x v="5"/>
    <x v="0"/>
    <x v="3"/>
    <s v="HR Expense - South"/>
    <n v="-2745.25"/>
    <m/>
  </r>
  <r>
    <x v="351"/>
    <n v="6"/>
    <n v="2025"/>
    <n v="2"/>
    <x v="2"/>
    <x v="1"/>
    <x v="3"/>
    <s v="G&amp;A Revenue - South"/>
    <n v="6245.83"/>
    <n v="5907.48"/>
  </r>
  <r>
    <x v="352"/>
    <n v="6"/>
    <n v="2025"/>
    <n v="2"/>
    <x v="5"/>
    <x v="1"/>
    <x v="3"/>
    <s v="HR Revenue - South"/>
    <n v="3697.98"/>
    <n v="3957.17"/>
  </r>
  <r>
    <x v="353"/>
    <n v="6"/>
    <n v="2025"/>
    <n v="2"/>
    <x v="3"/>
    <x v="0"/>
    <x v="1"/>
    <s v="Subscriptions Expense - West"/>
    <n v="-21476.02"/>
    <m/>
  </r>
  <r>
    <x v="354"/>
    <n v="6"/>
    <n v="2025"/>
    <n v="2"/>
    <x v="0"/>
    <x v="1"/>
    <x v="2"/>
    <s v="Services Revenue - North"/>
    <n v="21521.42"/>
    <n v="20697.22"/>
  </r>
  <r>
    <x v="355"/>
    <n v="6"/>
    <n v="2025"/>
    <n v="2"/>
    <x v="0"/>
    <x v="0"/>
    <x v="0"/>
    <s v="Services Expense - East"/>
    <n v="-27621.52"/>
    <m/>
  </r>
  <r>
    <x v="355"/>
    <n v="6"/>
    <n v="2025"/>
    <n v="2"/>
    <x v="7"/>
    <x v="1"/>
    <x v="0"/>
    <s v="Operations Revenue - East"/>
    <n v="18680.919999999998"/>
    <n v="19198.169999999998"/>
  </r>
  <r>
    <x v="355"/>
    <n v="6"/>
    <n v="2025"/>
    <n v="2"/>
    <x v="2"/>
    <x v="0"/>
    <x v="0"/>
    <s v="G&amp;A Expense - East"/>
    <n v="-3305.76"/>
    <m/>
  </r>
  <r>
    <x v="355"/>
    <n v="6"/>
    <n v="2025"/>
    <n v="2"/>
    <x v="1"/>
    <x v="1"/>
    <x v="1"/>
    <s v="R&amp;D Revenue - West"/>
    <n v="13302.87"/>
    <n v="14399"/>
  </r>
  <r>
    <x v="355"/>
    <n v="6"/>
    <n v="2025"/>
    <n v="2"/>
    <x v="7"/>
    <x v="1"/>
    <x v="3"/>
    <s v="Operations Revenue - South"/>
    <n v="18055.04"/>
    <n v="18080.03"/>
  </r>
  <r>
    <x v="356"/>
    <n v="6"/>
    <n v="2025"/>
    <n v="2"/>
    <x v="6"/>
    <x v="1"/>
    <x v="0"/>
    <s v="Sales Revenue - East"/>
    <n v="26021.74"/>
    <n v="26757.51"/>
  </r>
  <r>
    <x v="356"/>
    <n v="6"/>
    <n v="2025"/>
    <n v="2"/>
    <x v="3"/>
    <x v="0"/>
    <x v="2"/>
    <s v="Subscriptions Expense - North"/>
    <n v="-30471.23"/>
    <m/>
  </r>
  <r>
    <x v="357"/>
    <n v="6"/>
    <n v="2025"/>
    <n v="2"/>
    <x v="1"/>
    <x v="0"/>
    <x v="2"/>
    <s v="R&amp;D Expense - North"/>
    <n v="-5796.54"/>
    <m/>
  </r>
  <r>
    <x v="358"/>
    <n v="6"/>
    <n v="2025"/>
    <n v="2"/>
    <x v="0"/>
    <x v="1"/>
    <x v="0"/>
    <s v="Services Revenue - East"/>
    <n v="23322.14"/>
    <n v="22041.17"/>
  </r>
  <r>
    <x v="358"/>
    <n v="6"/>
    <n v="2025"/>
    <n v="2"/>
    <x v="1"/>
    <x v="1"/>
    <x v="0"/>
    <s v="R&amp;D Revenue - East"/>
    <n v="16068.8"/>
    <n v="15375.39"/>
  </r>
  <r>
    <x v="358"/>
    <n v="6"/>
    <n v="2025"/>
    <n v="2"/>
    <x v="1"/>
    <x v="0"/>
    <x v="0"/>
    <s v="R&amp;D Expense - East"/>
    <n v="-6850.77"/>
    <m/>
  </r>
  <r>
    <x v="358"/>
    <n v="6"/>
    <n v="2025"/>
    <n v="2"/>
    <x v="4"/>
    <x v="0"/>
    <x v="2"/>
    <s v="Marketing Expense - North"/>
    <n v="-8538.0499999999993"/>
    <m/>
  </r>
  <r>
    <x v="359"/>
    <n v="6"/>
    <n v="2025"/>
    <n v="2"/>
    <x v="6"/>
    <x v="0"/>
    <x v="1"/>
    <s v="Sales Expense - West"/>
    <n v="-17111.3"/>
    <m/>
  </r>
  <r>
    <x v="359"/>
    <n v="6"/>
    <n v="2025"/>
    <n v="2"/>
    <x v="1"/>
    <x v="0"/>
    <x v="1"/>
    <s v="R&amp;D Expense - West"/>
    <n v="-10877.56"/>
    <m/>
  </r>
  <r>
    <x v="360"/>
    <n v="6"/>
    <n v="2025"/>
    <n v="2"/>
    <x v="4"/>
    <x v="0"/>
    <x v="0"/>
    <s v="Marketing Expense - East"/>
    <n v="-8581.14"/>
    <m/>
  </r>
  <r>
    <x v="360"/>
    <n v="6"/>
    <n v="2025"/>
    <n v="2"/>
    <x v="6"/>
    <x v="0"/>
    <x v="2"/>
    <s v="Sales Expense - North"/>
    <n v="-19179.47"/>
    <m/>
  </r>
  <r>
    <x v="360"/>
    <n v="6"/>
    <n v="2025"/>
    <n v="2"/>
    <x v="5"/>
    <x v="1"/>
    <x v="2"/>
    <s v="HR Revenue - North"/>
    <n v="4939.0600000000004"/>
    <n v="5093.28"/>
  </r>
  <r>
    <x v="360"/>
    <n v="6"/>
    <n v="2025"/>
    <n v="2"/>
    <x v="5"/>
    <x v="0"/>
    <x v="2"/>
    <s v="HR Expense - North"/>
    <n v="-3822.82"/>
    <m/>
  </r>
  <r>
    <x v="361"/>
    <n v="6"/>
    <n v="2025"/>
    <n v="2"/>
    <x v="3"/>
    <x v="1"/>
    <x v="0"/>
    <s v="Subscriptions Revenue - East"/>
    <n v="31422.26"/>
    <n v="33944.65"/>
  </r>
  <r>
    <x v="361"/>
    <n v="6"/>
    <n v="2025"/>
    <n v="2"/>
    <x v="2"/>
    <x v="0"/>
    <x v="3"/>
    <s v="G&amp;A Expense - South"/>
    <n v="-2447.91"/>
    <m/>
  </r>
  <r>
    <x v="362"/>
    <n v="6"/>
    <n v="2025"/>
    <n v="2"/>
    <x v="4"/>
    <x v="1"/>
    <x v="0"/>
    <s v="Marketing Revenue - East"/>
    <n v="11944.38"/>
    <n v="12664.5"/>
  </r>
  <r>
    <x v="362"/>
    <n v="6"/>
    <n v="2025"/>
    <n v="2"/>
    <x v="4"/>
    <x v="0"/>
    <x v="1"/>
    <s v="Marketing Expense - West"/>
    <n v="-10922.77"/>
    <m/>
  </r>
  <r>
    <x v="362"/>
    <n v="6"/>
    <n v="2025"/>
    <n v="2"/>
    <x v="5"/>
    <x v="1"/>
    <x v="1"/>
    <s v="HR Revenue - West"/>
    <n v="4468.9799999999996"/>
    <n v="4834"/>
  </r>
  <r>
    <x v="362"/>
    <n v="6"/>
    <n v="2025"/>
    <n v="2"/>
    <x v="2"/>
    <x v="0"/>
    <x v="2"/>
    <s v="G&amp;A Expense - North"/>
    <n v="-2342.75"/>
    <m/>
  </r>
  <r>
    <x v="363"/>
    <n v="6"/>
    <n v="2025"/>
    <n v="2"/>
    <x v="7"/>
    <x v="1"/>
    <x v="1"/>
    <s v="Operations Revenue - West"/>
    <n v="14501"/>
    <n v="14575.81"/>
  </r>
  <r>
    <x v="363"/>
    <n v="6"/>
    <n v="2025"/>
    <n v="2"/>
    <x v="5"/>
    <x v="0"/>
    <x v="1"/>
    <s v="HR Expense - West"/>
    <n v="-5144.9799999999996"/>
    <m/>
  </r>
  <r>
    <x v="364"/>
    <n v="6"/>
    <n v="2025"/>
    <n v="2"/>
    <x v="4"/>
    <x v="1"/>
    <x v="1"/>
    <s v="Marketing Revenue - West"/>
    <n v="7697.14"/>
    <n v="8198.68"/>
  </r>
  <r>
    <x v="365"/>
    <n v="6"/>
    <n v="2025"/>
    <n v="2"/>
    <x v="3"/>
    <x v="0"/>
    <x v="0"/>
    <s v="Subscriptions Expense - East"/>
    <n v="-43938.080000000002"/>
    <m/>
  </r>
  <r>
    <x v="365"/>
    <n v="6"/>
    <n v="2025"/>
    <n v="2"/>
    <x v="6"/>
    <x v="1"/>
    <x v="1"/>
    <s v="Sales Revenue - West"/>
    <n v="26437.89"/>
    <n v="26031.8"/>
  </r>
  <r>
    <x v="365"/>
    <n v="6"/>
    <n v="2025"/>
    <n v="2"/>
    <x v="0"/>
    <x v="0"/>
    <x v="2"/>
    <s v="Services Expense - North"/>
    <n v="-23000.560000000001"/>
    <m/>
  </r>
  <r>
    <x v="365"/>
    <n v="6"/>
    <n v="2025"/>
    <n v="2"/>
    <x v="0"/>
    <x v="0"/>
    <x v="3"/>
    <s v="Services Expense - South"/>
    <n v="-8254.07"/>
    <m/>
  </r>
  <r>
    <x v="365"/>
    <n v="6"/>
    <n v="2025"/>
    <n v="2"/>
    <x v="4"/>
    <x v="0"/>
    <x v="3"/>
    <s v="Marketing Expense - South"/>
    <n v="-4296.5600000000004"/>
    <m/>
  </r>
  <r>
    <x v="366"/>
    <n v="6"/>
    <n v="2025"/>
    <n v="2"/>
    <x v="0"/>
    <x v="0"/>
    <x v="1"/>
    <s v="Services Expense - West"/>
    <n v="-10571.48"/>
    <m/>
  </r>
  <r>
    <x v="366"/>
    <n v="6"/>
    <n v="2025"/>
    <n v="2"/>
    <x v="3"/>
    <x v="1"/>
    <x v="1"/>
    <s v="Subscriptions Revenue - West"/>
    <n v="30326.400000000001"/>
    <n v="29051.11"/>
  </r>
  <r>
    <x v="366"/>
    <n v="6"/>
    <n v="2025"/>
    <n v="2"/>
    <x v="6"/>
    <x v="1"/>
    <x v="2"/>
    <s v="Sales Revenue - North"/>
    <n v="30200.19"/>
    <n v="28426.560000000001"/>
  </r>
  <r>
    <x v="366"/>
    <n v="6"/>
    <n v="2025"/>
    <n v="2"/>
    <x v="4"/>
    <x v="1"/>
    <x v="3"/>
    <s v="Marketing Revenue - South"/>
    <n v="7549.92"/>
    <n v="8038.19"/>
  </r>
  <r>
    <x v="366"/>
    <n v="6"/>
    <n v="2025"/>
    <n v="2"/>
    <x v="7"/>
    <x v="0"/>
    <x v="3"/>
    <s v="Operations Expense - South"/>
    <n v="-26688.97"/>
    <m/>
  </r>
  <r>
    <x v="367"/>
    <n v="6"/>
    <n v="2025"/>
    <n v="2"/>
    <x v="0"/>
    <x v="1"/>
    <x v="3"/>
    <s v="Services Revenue - South"/>
    <n v="21274.78"/>
    <n v="22419.72"/>
  </r>
  <r>
    <x v="368"/>
    <n v="6"/>
    <n v="2025"/>
    <n v="2"/>
    <x v="6"/>
    <x v="0"/>
    <x v="0"/>
    <s v="Sales Expense - East"/>
    <n v="-12830.55"/>
    <m/>
  </r>
  <r>
    <x v="368"/>
    <n v="6"/>
    <n v="2025"/>
    <n v="2"/>
    <x v="7"/>
    <x v="0"/>
    <x v="2"/>
    <s v="Operations Expense - North"/>
    <n v="-12859.68"/>
    <m/>
  </r>
  <r>
    <x v="368"/>
    <n v="6"/>
    <n v="2025"/>
    <n v="2"/>
    <x v="3"/>
    <x v="1"/>
    <x v="3"/>
    <s v="Subscriptions Revenue - South"/>
    <n v="19821.16"/>
    <n v="21662.81"/>
  </r>
  <r>
    <x v="369"/>
    <n v="7"/>
    <n v="2025"/>
    <n v="3"/>
    <x v="1"/>
    <x v="1"/>
    <x v="0"/>
    <s v="R&amp;D Revenue - East"/>
    <n v="14124.42"/>
    <n v="15382.73"/>
  </r>
  <r>
    <x v="369"/>
    <n v="7"/>
    <n v="2025"/>
    <n v="3"/>
    <x v="2"/>
    <x v="0"/>
    <x v="0"/>
    <s v="G&amp;A Expense - East"/>
    <n v="-10766.01"/>
    <m/>
  </r>
  <r>
    <x v="369"/>
    <n v="7"/>
    <n v="2025"/>
    <n v="3"/>
    <x v="4"/>
    <x v="0"/>
    <x v="1"/>
    <s v="Marketing Expense - West"/>
    <n v="-5017.0200000000004"/>
    <m/>
  </r>
  <r>
    <x v="370"/>
    <n v="7"/>
    <n v="2025"/>
    <n v="3"/>
    <x v="4"/>
    <x v="1"/>
    <x v="1"/>
    <s v="Marketing Revenue - West"/>
    <n v="11042.41"/>
    <n v="10390.6"/>
  </r>
  <r>
    <x v="370"/>
    <n v="7"/>
    <n v="2025"/>
    <n v="3"/>
    <x v="5"/>
    <x v="0"/>
    <x v="1"/>
    <s v="HR Expense - West"/>
    <n v="-5131.05"/>
    <m/>
  </r>
  <r>
    <x v="370"/>
    <n v="7"/>
    <n v="2025"/>
    <n v="3"/>
    <x v="5"/>
    <x v="1"/>
    <x v="3"/>
    <s v="HR Revenue - South"/>
    <n v="4725.01"/>
    <n v="4966.3900000000003"/>
  </r>
  <r>
    <x v="371"/>
    <n v="7"/>
    <n v="2025"/>
    <n v="3"/>
    <x v="7"/>
    <x v="1"/>
    <x v="1"/>
    <s v="Operations Revenue - West"/>
    <n v="19601.73"/>
    <n v="19434.43"/>
  </r>
  <r>
    <x v="371"/>
    <n v="7"/>
    <n v="2025"/>
    <n v="3"/>
    <x v="3"/>
    <x v="1"/>
    <x v="3"/>
    <s v="Subscriptions Revenue - South"/>
    <n v="21778.01"/>
    <n v="21689.57"/>
  </r>
  <r>
    <x v="372"/>
    <n v="7"/>
    <n v="2025"/>
    <n v="3"/>
    <x v="2"/>
    <x v="0"/>
    <x v="1"/>
    <s v="G&amp;A Expense - West"/>
    <n v="-3269.84"/>
    <m/>
  </r>
  <r>
    <x v="373"/>
    <n v="7"/>
    <n v="2025"/>
    <n v="3"/>
    <x v="1"/>
    <x v="1"/>
    <x v="1"/>
    <s v="R&amp;D Revenue - West"/>
    <n v="9859.69"/>
    <n v="10474.14"/>
  </r>
  <r>
    <x v="373"/>
    <n v="7"/>
    <n v="2025"/>
    <n v="3"/>
    <x v="2"/>
    <x v="1"/>
    <x v="1"/>
    <s v="G&amp;A Revenue - West"/>
    <n v="6465.12"/>
    <n v="6650.76"/>
  </r>
  <r>
    <x v="373"/>
    <n v="7"/>
    <n v="2025"/>
    <n v="3"/>
    <x v="3"/>
    <x v="0"/>
    <x v="3"/>
    <s v="Subscriptions Expense - South"/>
    <n v="-13946.62"/>
    <m/>
  </r>
  <r>
    <x v="374"/>
    <n v="7"/>
    <n v="2025"/>
    <n v="3"/>
    <x v="3"/>
    <x v="1"/>
    <x v="2"/>
    <s v="Subscriptions Revenue - North"/>
    <n v="26257.13"/>
    <n v="27321.41"/>
  </r>
  <r>
    <x v="374"/>
    <n v="7"/>
    <n v="2025"/>
    <n v="3"/>
    <x v="7"/>
    <x v="1"/>
    <x v="2"/>
    <s v="Operations Revenue - North"/>
    <n v="13523.47"/>
    <n v="14686.44"/>
  </r>
  <r>
    <x v="375"/>
    <n v="7"/>
    <n v="2025"/>
    <n v="3"/>
    <x v="1"/>
    <x v="0"/>
    <x v="1"/>
    <s v="R&amp;D Expense - West"/>
    <n v="-3175.51"/>
    <m/>
  </r>
  <r>
    <x v="376"/>
    <n v="7"/>
    <n v="2025"/>
    <n v="3"/>
    <x v="4"/>
    <x v="1"/>
    <x v="0"/>
    <s v="Marketing Revenue - East"/>
    <n v="11373.16"/>
    <n v="12450.59"/>
  </r>
  <r>
    <x v="376"/>
    <n v="7"/>
    <n v="2025"/>
    <n v="3"/>
    <x v="5"/>
    <x v="0"/>
    <x v="0"/>
    <s v="HR Expense - East"/>
    <n v="-4318.1400000000003"/>
    <m/>
  </r>
  <r>
    <x v="377"/>
    <n v="7"/>
    <n v="2025"/>
    <n v="3"/>
    <x v="4"/>
    <x v="0"/>
    <x v="2"/>
    <s v="Marketing Expense - North"/>
    <n v="-4791.16"/>
    <m/>
  </r>
  <r>
    <x v="377"/>
    <n v="7"/>
    <n v="2025"/>
    <n v="3"/>
    <x v="5"/>
    <x v="1"/>
    <x v="2"/>
    <s v="HR Revenue - North"/>
    <n v="5297.16"/>
    <n v="5092.74"/>
  </r>
  <r>
    <x v="378"/>
    <n v="7"/>
    <n v="2025"/>
    <n v="3"/>
    <x v="3"/>
    <x v="1"/>
    <x v="1"/>
    <s v="Subscriptions Revenue - West"/>
    <n v="20584.07"/>
    <n v="22295.26"/>
  </r>
  <r>
    <x v="378"/>
    <n v="7"/>
    <n v="2025"/>
    <n v="3"/>
    <x v="7"/>
    <x v="0"/>
    <x v="1"/>
    <s v="Operations Expense - West"/>
    <n v="-20718.830000000002"/>
    <m/>
  </r>
  <r>
    <x v="378"/>
    <n v="7"/>
    <n v="2025"/>
    <n v="3"/>
    <x v="6"/>
    <x v="0"/>
    <x v="2"/>
    <s v="Sales Expense - North"/>
    <n v="-11966.67"/>
    <m/>
  </r>
  <r>
    <x v="379"/>
    <n v="7"/>
    <n v="2025"/>
    <n v="3"/>
    <x v="3"/>
    <x v="0"/>
    <x v="2"/>
    <s v="Subscriptions Expense - North"/>
    <n v="-19772.22"/>
    <m/>
  </r>
  <r>
    <x v="379"/>
    <n v="7"/>
    <n v="2025"/>
    <n v="3"/>
    <x v="1"/>
    <x v="1"/>
    <x v="2"/>
    <s v="R&amp;D Revenue - North"/>
    <n v="11006.49"/>
    <n v="11317.43"/>
  </r>
  <r>
    <x v="379"/>
    <n v="7"/>
    <n v="2025"/>
    <n v="3"/>
    <x v="6"/>
    <x v="0"/>
    <x v="3"/>
    <s v="Sales Expense - South"/>
    <n v="-27805.73"/>
    <m/>
  </r>
  <r>
    <x v="380"/>
    <n v="7"/>
    <n v="2025"/>
    <n v="3"/>
    <x v="6"/>
    <x v="1"/>
    <x v="0"/>
    <s v="Sales Revenue - East"/>
    <n v="33849.269999999997"/>
    <n v="34793.230000000003"/>
  </r>
  <r>
    <x v="380"/>
    <n v="7"/>
    <n v="2025"/>
    <n v="3"/>
    <x v="6"/>
    <x v="1"/>
    <x v="1"/>
    <s v="Sales Revenue - West"/>
    <n v="29848.02"/>
    <n v="31575.98"/>
  </r>
  <r>
    <x v="381"/>
    <n v="7"/>
    <n v="2025"/>
    <n v="3"/>
    <x v="3"/>
    <x v="0"/>
    <x v="0"/>
    <s v="Subscriptions Expense - East"/>
    <n v="-17102.150000000001"/>
    <m/>
  </r>
  <r>
    <x v="382"/>
    <n v="7"/>
    <n v="2025"/>
    <n v="3"/>
    <x v="5"/>
    <x v="1"/>
    <x v="0"/>
    <s v="HR Revenue - East"/>
    <n v="4649.6000000000004"/>
    <n v="4970.03"/>
  </r>
  <r>
    <x v="383"/>
    <n v="7"/>
    <n v="2025"/>
    <n v="3"/>
    <x v="0"/>
    <x v="1"/>
    <x v="0"/>
    <s v="Services Revenue - East"/>
    <n v="23035.759999999998"/>
    <n v="24562.67"/>
  </r>
  <r>
    <x v="383"/>
    <n v="7"/>
    <n v="2025"/>
    <n v="3"/>
    <x v="0"/>
    <x v="0"/>
    <x v="0"/>
    <s v="Services Expense - East"/>
    <n v="-27261.51"/>
    <m/>
  </r>
  <r>
    <x v="383"/>
    <n v="7"/>
    <n v="2025"/>
    <n v="3"/>
    <x v="7"/>
    <x v="0"/>
    <x v="3"/>
    <s v="Operations Expense - South"/>
    <n v="-10717.68"/>
    <m/>
  </r>
  <r>
    <x v="383"/>
    <n v="7"/>
    <n v="2025"/>
    <n v="3"/>
    <x v="5"/>
    <x v="0"/>
    <x v="3"/>
    <s v="HR Expense - South"/>
    <n v="-2331.1799999999998"/>
    <m/>
  </r>
  <r>
    <x v="384"/>
    <n v="7"/>
    <n v="2025"/>
    <n v="3"/>
    <x v="0"/>
    <x v="0"/>
    <x v="1"/>
    <s v="Services Expense - West"/>
    <n v="-14858.26"/>
    <m/>
  </r>
  <r>
    <x v="384"/>
    <n v="7"/>
    <n v="2025"/>
    <n v="3"/>
    <x v="4"/>
    <x v="1"/>
    <x v="2"/>
    <s v="Marketing Revenue - North"/>
    <n v="8036.02"/>
    <n v="8085.43"/>
  </r>
  <r>
    <x v="384"/>
    <n v="7"/>
    <n v="2025"/>
    <n v="3"/>
    <x v="7"/>
    <x v="1"/>
    <x v="3"/>
    <s v="Operations Revenue - South"/>
    <n v="14554.3"/>
    <n v="15343.86"/>
  </r>
  <r>
    <x v="384"/>
    <n v="7"/>
    <n v="2025"/>
    <n v="3"/>
    <x v="2"/>
    <x v="1"/>
    <x v="3"/>
    <s v="G&amp;A Revenue - South"/>
    <n v="5814.31"/>
    <n v="5769.25"/>
  </r>
  <r>
    <x v="385"/>
    <n v="7"/>
    <n v="2025"/>
    <n v="3"/>
    <x v="3"/>
    <x v="0"/>
    <x v="1"/>
    <s v="Subscriptions Expense - West"/>
    <n v="-14375.14"/>
    <m/>
  </r>
  <r>
    <x v="385"/>
    <n v="7"/>
    <n v="2025"/>
    <n v="3"/>
    <x v="5"/>
    <x v="1"/>
    <x v="1"/>
    <s v="HR Revenue - West"/>
    <n v="4046.92"/>
    <n v="3835.08"/>
  </r>
  <r>
    <x v="385"/>
    <n v="7"/>
    <n v="2025"/>
    <n v="3"/>
    <x v="0"/>
    <x v="1"/>
    <x v="3"/>
    <s v="Services Revenue - South"/>
    <n v="21695.48"/>
    <n v="21471.88"/>
  </r>
  <r>
    <x v="385"/>
    <n v="7"/>
    <n v="2025"/>
    <n v="3"/>
    <x v="4"/>
    <x v="0"/>
    <x v="3"/>
    <s v="Marketing Expense - South"/>
    <n v="-2372.87"/>
    <m/>
  </r>
  <r>
    <x v="386"/>
    <n v="7"/>
    <n v="2025"/>
    <n v="3"/>
    <x v="2"/>
    <x v="1"/>
    <x v="0"/>
    <s v="G&amp;A Revenue - East"/>
    <n v="7216.38"/>
    <n v="7400.86"/>
  </r>
  <r>
    <x v="386"/>
    <n v="7"/>
    <n v="2025"/>
    <n v="3"/>
    <x v="1"/>
    <x v="1"/>
    <x v="3"/>
    <s v="R&amp;D Revenue - South"/>
    <n v="11183.01"/>
    <n v="11791.15"/>
  </r>
  <r>
    <x v="387"/>
    <n v="7"/>
    <n v="2025"/>
    <n v="3"/>
    <x v="6"/>
    <x v="1"/>
    <x v="3"/>
    <s v="Sales Revenue - South"/>
    <n v="22215.88"/>
    <n v="21706.74"/>
  </r>
  <r>
    <x v="387"/>
    <n v="7"/>
    <n v="2025"/>
    <n v="3"/>
    <x v="2"/>
    <x v="0"/>
    <x v="3"/>
    <s v="G&amp;A Expense - South"/>
    <n v="-2262.8000000000002"/>
    <m/>
  </r>
  <r>
    <x v="388"/>
    <n v="7"/>
    <n v="2025"/>
    <n v="3"/>
    <x v="3"/>
    <x v="1"/>
    <x v="0"/>
    <s v="Subscriptions Revenue - East"/>
    <n v="23675.05"/>
    <n v="23135.53"/>
  </r>
  <r>
    <x v="388"/>
    <n v="7"/>
    <n v="2025"/>
    <n v="3"/>
    <x v="7"/>
    <x v="0"/>
    <x v="0"/>
    <s v="Operations Expense - East"/>
    <n v="-6963.01"/>
    <m/>
  </r>
  <r>
    <x v="388"/>
    <n v="7"/>
    <n v="2025"/>
    <n v="3"/>
    <x v="7"/>
    <x v="0"/>
    <x v="2"/>
    <s v="Operations Expense - North"/>
    <n v="-6043.94"/>
    <m/>
  </r>
  <r>
    <x v="388"/>
    <n v="7"/>
    <n v="2025"/>
    <n v="3"/>
    <x v="1"/>
    <x v="0"/>
    <x v="2"/>
    <s v="R&amp;D Expense - North"/>
    <n v="-11712.91"/>
    <m/>
  </r>
  <r>
    <x v="389"/>
    <n v="7"/>
    <n v="2025"/>
    <n v="3"/>
    <x v="6"/>
    <x v="0"/>
    <x v="1"/>
    <s v="Sales Expense - West"/>
    <n v="-9546.09"/>
    <m/>
  </r>
  <r>
    <x v="390"/>
    <n v="7"/>
    <n v="2025"/>
    <n v="3"/>
    <x v="4"/>
    <x v="0"/>
    <x v="0"/>
    <s v="Marketing Expense - East"/>
    <n v="-6280.28"/>
    <m/>
  </r>
  <r>
    <x v="391"/>
    <n v="7"/>
    <n v="2025"/>
    <n v="3"/>
    <x v="1"/>
    <x v="0"/>
    <x v="0"/>
    <s v="R&amp;D Expense - East"/>
    <n v="-19325.53"/>
    <m/>
  </r>
  <r>
    <x v="391"/>
    <n v="7"/>
    <n v="2025"/>
    <n v="3"/>
    <x v="2"/>
    <x v="0"/>
    <x v="2"/>
    <s v="G&amp;A Expense - North"/>
    <n v="-2272.52"/>
    <m/>
  </r>
  <r>
    <x v="391"/>
    <n v="7"/>
    <n v="2025"/>
    <n v="3"/>
    <x v="4"/>
    <x v="1"/>
    <x v="3"/>
    <s v="Marketing Revenue - South"/>
    <n v="7132.4"/>
    <n v="6675.59"/>
  </r>
  <r>
    <x v="392"/>
    <n v="7"/>
    <n v="2025"/>
    <n v="3"/>
    <x v="6"/>
    <x v="0"/>
    <x v="0"/>
    <s v="Sales Expense - East"/>
    <n v="-49563.34"/>
    <m/>
  </r>
  <r>
    <x v="392"/>
    <n v="7"/>
    <n v="2025"/>
    <n v="3"/>
    <x v="7"/>
    <x v="1"/>
    <x v="0"/>
    <s v="Operations Revenue - East"/>
    <n v="20022.7"/>
    <n v="21571.5"/>
  </r>
  <r>
    <x v="393"/>
    <n v="7"/>
    <n v="2025"/>
    <n v="3"/>
    <x v="6"/>
    <x v="1"/>
    <x v="2"/>
    <s v="Sales Revenue - North"/>
    <n v="30389.02"/>
    <n v="31280.03"/>
  </r>
  <r>
    <x v="394"/>
    <n v="7"/>
    <n v="2025"/>
    <n v="3"/>
    <x v="0"/>
    <x v="1"/>
    <x v="2"/>
    <s v="Services Revenue - North"/>
    <n v="26015.37"/>
    <n v="24645.58"/>
  </r>
  <r>
    <x v="394"/>
    <n v="7"/>
    <n v="2025"/>
    <n v="3"/>
    <x v="2"/>
    <x v="1"/>
    <x v="2"/>
    <s v="G&amp;A Revenue - North"/>
    <n v="5006.16"/>
    <n v="5275.68"/>
  </r>
  <r>
    <x v="394"/>
    <n v="7"/>
    <n v="2025"/>
    <n v="3"/>
    <x v="1"/>
    <x v="0"/>
    <x v="3"/>
    <s v="R&amp;D Expense - South"/>
    <n v="-6373.16"/>
    <m/>
  </r>
  <r>
    <x v="395"/>
    <n v="7"/>
    <n v="2025"/>
    <n v="3"/>
    <x v="0"/>
    <x v="1"/>
    <x v="1"/>
    <s v="Services Revenue - West"/>
    <n v="25889.59"/>
    <n v="27028.59"/>
  </r>
  <r>
    <x v="395"/>
    <n v="7"/>
    <n v="2025"/>
    <n v="3"/>
    <x v="5"/>
    <x v="0"/>
    <x v="2"/>
    <s v="HR Expense - North"/>
    <n v="-3246.13"/>
    <m/>
  </r>
  <r>
    <x v="395"/>
    <n v="7"/>
    <n v="2025"/>
    <n v="3"/>
    <x v="0"/>
    <x v="0"/>
    <x v="3"/>
    <s v="Services Expense - South"/>
    <n v="-25779.84"/>
    <m/>
  </r>
  <r>
    <x v="396"/>
    <n v="7"/>
    <n v="2025"/>
    <n v="3"/>
    <x v="0"/>
    <x v="0"/>
    <x v="2"/>
    <s v="Services Expense - North"/>
    <n v="-15453.28"/>
    <m/>
  </r>
  <r>
    <x v="397"/>
    <n v="8"/>
    <n v="2025"/>
    <n v="3"/>
    <x v="0"/>
    <x v="1"/>
    <x v="0"/>
    <s v="Services Revenue - East"/>
    <n v="17440.47"/>
    <n v="17132.77"/>
  </r>
  <r>
    <x v="398"/>
    <n v="8"/>
    <n v="2025"/>
    <n v="3"/>
    <x v="4"/>
    <x v="0"/>
    <x v="1"/>
    <s v="Marketing Expense - West"/>
    <n v="-5937.83"/>
    <m/>
  </r>
  <r>
    <x v="399"/>
    <n v="8"/>
    <n v="2025"/>
    <n v="3"/>
    <x v="6"/>
    <x v="1"/>
    <x v="0"/>
    <s v="Sales Revenue - East"/>
    <n v="25222.22"/>
    <n v="23602.42"/>
  </r>
  <r>
    <x v="399"/>
    <n v="8"/>
    <n v="2025"/>
    <n v="3"/>
    <x v="2"/>
    <x v="1"/>
    <x v="0"/>
    <s v="G&amp;A Revenue - East"/>
    <n v="5468.46"/>
    <n v="5887.24"/>
  </r>
  <r>
    <x v="399"/>
    <n v="8"/>
    <n v="2025"/>
    <n v="3"/>
    <x v="3"/>
    <x v="0"/>
    <x v="2"/>
    <s v="Subscriptions Expense - North"/>
    <n v="-21624.19"/>
    <m/>
  </r>
  <r>
    <x v="399"/>
    <n v="8"/>
    <n v="2025"/>
    <n v="3"/>
    <x v="4"/>
    <x v="1"/>
    <x v="3"/>
    <s v="Marketing Revenue - South"/>
    <n v="8585.36"/>
    <n v="9289.9599999999991"/>
  </r>
  <r>
    <x v="400"/>
    <n v="8"/>
    <n v="2025"/>
    <n v="3"/>
    <x v="3"/>
    <x v="0"/>
    <x v="0"/>
    <s v="Subscriptions Expense - East"/>
    <n v="-41611.26"/>
    <m/>
  </r>
  <r>
    <x v="400"/>
    <n v="8"/>
    <n v="2025"/>
    <n v="3"/>
    <x v="1"/>
    <x v="1"/>
    <x v="0"/>
    <s v="R&amp;D Revenue - East"/>
    <n v="12239.58"/>
    <n v="12462.15"/>
  </r>
  <r>
    <x v="400"/>
    <n v="8"/>
    <n v="2025"/>
    <n v="3"/>
    <x v="0"/>
    <x v="0"/>
    <x v="2"/>
    <s v="Services Expense - North"/>
    <n v="-12062.63"/>
    <m/>
  </r>
  <r>
    <x v="400"/>
    <n v="8"/>
    <n v="2025"/>
    <n v="3"/>
    <x v="4"/>
    <x v="0"/>
    <x v="2"/>
    <s v="Marketing Expense - North"/>
    <n v="-2628.27"/>
    <m/>
  </r>
  <r>
    <x v="400"/>
    <n v="8"/>
    <n v="2025"/>
    <n v="3"/>
    <x v="2"/>
    <x v="0"/>
    <x v="2"/>
    <s v="G&amp;A Expense - North"/>
    <n v="-3282.91"/>
    <m/>
  </r>
  <r>
    <x v="400"/>
    <n v="8"/>
    <n v="2025"/>
    <n v="3"/>
    <x v="3"/>
    <x v="0"/>
    <x v="3"/>
    <s v="Subscriptions Expense - South"/>
    <n v="-28933.24"/>
    <m/>
  </r>
  <r>
    <x v="401"/>
    <n v="8"/>
    <n v="2025"/>
    <n v="3"/>
    <x v="5"/>
    <x v="1"/>
    <x v="2"/>
    <s v="HR Revenue - North"/>
    <n v="3564.93"/>
    <n v="3691.59"/>
  </r>
  <r>
    <x v="401"/>
    <n v="8"/>
    <n v="2025"/>
    <n v="3"/>
    <x v="2"/>
    <x v="1"/>
    <x v="2"/>
    <s v="G&amp;A Revenue - North"/>
    <n v="4976.6099999999997"/>
    <n v="5341.76"/>
  </r>
  <r>
    <x v="401"/>
    <n v="8"/>
    <n v="2025"/>
    <n v="3"/>
    <x v="0"/>
    <x v="1"/>
    <x v="3"/>
    <s v="Services Revenue - South"/>
    <n v="17048.73"/>
    <n v="18503.28"/>
  </r>
  <r>
    <x v="401"/>
    <n v="8"/>
    <n v="2025"/>
    <n v="3"/>
    <x v="4"/>
    <x v="0"/>
    <x v="3"/>
    <s v="Marketing Expense - South"/>
    <n v="-6035.46"/>
    <m/>
  </r>
  <r>
    <x v="402"/>
    <n v="8"/>
    <n v="2025"/>
    <n v="3"/>
    <x v="6"/>
    <x v="0"/>
    <x v="1"/>
    <s v="Sales Expense - West"/>
    <n v="-12725.37"/>
    <m/>
  </r>
  <r>
    <x v="402"/>
    <n v="8"/>
    <n v="2025"/>
    <n v="3"/>
    <x v="6"/>
    <x v="1"/>
    <x v="2"/>
    <s v="Sales Revenue - North"/>
    <n v="26831.11"/>
    <n v="25931.39"/>
  </r>
  <r>
    <x v="402"/>
    <n v="8"/>
    <n v="2025"/>
    <n v="3"/>
    <x v="5"/>
    <x v="0"/>
    <x v="2"/>
    <s v="HR Expense - North"/>
    <n v="-2033.46"/>
    <m/>
  </r>
  <r>
    <x v="402"/>
    <n v="8"/>
    <n v="2025"/>
    <n v="3"/>
    <x v="1"/>
    <x v="0"/>
    <x v="3"/>
    <s v="R&amp;D Expense - South"/>
    <n v="-4117.3100000000004"/>
    <m/>
  </r>
  <r>
    <x v="403"/>
    <n v="8"/>
    <n v="2025"/>
    <n v="3"/>
    <x v="0"/>
    <x v="0"/>
    <x v="0"/>
    <s v="Services Expense - East"/>
    <n v="-23435.94"/>
    <m/>
  </r>
  <r>
    <x v="404"/>
    <n v="8"/>
    <n v="2025"/>
    <n v="3"/>
    <x v="0"/>
    <x v="1"/>
    <x v="1"/>
    <s v="Services Revenue - West"/>
    <n v="22536.28"/>
    <n v="21098.78"/>
  </r>
  <r>
    <x v="404"/>
    <n v="8"/>
    <n v="2025"/>
    <n v="3"/>
    <x v="0"/>
    <x v="0"/>
    <x v="1"/>
    <s v="Services Expense - West"/>
    <n v="-18369.36"/>
    <m/>
  </r>
  <r>
    <x v="404"/>
    <n v="8"/>
    <n v="2025"/>
    <n v="3"/>
    <x v="5"/>
    <x v="1"/>
    <x v="1"/>
    <s v="HR Revenue - West"/>
    <n v="4129.2"/>
    <n v="4520.6400000000003"/>
  </r>
  <r>
    <x v="404"/>
    <n v="8"/>
    <n v="2025"/>
    <n v="3"/>
    <x v="1"/>
    <x v="0"/>
    <x v="2"/>
    <s v="R&amp;D Expense - North"/>
    <n v="-10269.36"/>
    <m/>
  </r>
  <r>
    <x v="404"/>
    <n v="8"/>
    <n v="2025"/>
    <n v="3"/>
    <x v="3"/>
    <x v="1"/>
    <x v="3"/>
    <s v="Subscriptions Revenue - South"/>
    <n v="21373.3"/>
    <n v="22846.86"/>
  </r>
  <r>
    <x v="405"/>
    <n v="8"/>
    <n v="2025"/>
    <n v="3"/>
    <x v="2"/>
    <x v="0"/>
    <x v="0"/>
    <s v="G&amp;A Expense - East"/>
    <n v="-4255.71"/>
    <m/>
  </r>
  <r>
    <x v="406"/>
    <n v="8"/>
    <n v="2025"/>
    <n v="3"/>
    <x v="4"/>
    <x v="0"/>
    <x v="0"/>
    <s v="Marketing Expense - East"/>
    <n v="-3951.21"/>
    <m/>
  </r>
  <r>
    <x v="406"/>
    <n v="8"/>
    <n v="2025"/>
    <n v="3"/>
    <x v="6"/>
    <x v="1"/>
    <x v="1"/>
    <s v="Sales Revenue - West"/>
    <n v="25987.45"/>
    <n v="27738.52"/>
  </r>
  <r>
    <x v="406"/>
    <n v="8"/>
    <n v="2025"/>
    <n v="3"/>
    <x v="0"/>
    <x v="1"/>
    <x v="2"/>
    <s v="Services Revenue - North"/>
    <n v="18147.66"/>
    <n v="17844.150000000001"/>
  </r>
  <r>
    <x v="406"/>
    <n v="8"/>
    <n v="2025"/>
    <n v="3"/>
    <x v="2"/>
    <x v="1"/>
    <x v="3"/>
    <s v="G&amp;A Revenue - South"/>
    <n v="6225.41"/>
    <n v="6725.39"/>
  </r>
  <r>
    <x v="407"/>
    <n v="8"/>
    <n v="2025"/>
    <n v="3"/>
    <x v="4"/>
    <x v="1"/>
    <x v="2"/>
    <s v="Marketing Revenue - North"/>
    <n v="7647.71"/>
    <n v="7515.36"/>
  </r>
  <r>
    <x v="408"/>
    <n v="8"/>
    <n v="2025"/>
    <n v="3"/>
    <x v="6"/>
    <x v="0"/>
    <x v="0"/>
    <s v="Sales Expense - East"/>
    <n v="-27728.28"/>
    <m/>
  </r>
  <r>
    <x v="408"/>
    <n v="8"/>
    <n v="2025"/>
    <n v="3"/>
    <x v="5"/>
    <x v="1"/>
    <x v="3"/>
    <s v="HR Revenue - South"/>
    <n v="4348.22"/>
    <n v="4771.9799999999996"/>
  </r>
  <r>
    <x v="409"/>
    <n v="8"/>
    <n v="2025"/>
    <n v="3"/>
    <x v="3"/>
    <x v="0"/>
    <x v="1"/>
    <s v="Subscriptions Expense - West"/>
    <n v="-15835.03"/>
    <m/>
  </r>
  <r>
    <x v="409"/>
    <n v="8"/>
    <n v="2025"/>
    <n v="3"/>
    <x v="1"/>
    <x v="0"/>
    <x v="1"/>
    <s v="R&amp;D Expense - West"/>
    <n v="-19879.650000000001"/>
    <m/>
  </r>
  <r>
    <x v="410"/>
    <n v="8"/>
    <n v="2025"/>
    <n v="3"/>
    <x v="1"/>
    <x v="0"/>
    <x v="0"/>
    <s v="R&amp;D Expense - East"/>
    <n v="-3923.14"/>
    <m/>
  </r>
  <r>
    <x v="411"/>
    <n v="8"/>
    <n v="2025"/>
    <n v="3"/>
    <x v="7"/>
    <x v="0"/>
    <x v="0"/>
    <s v="Operations Expense - East"/>
    <n v="-11851.85"/>
    <m/>
  </r>
  <r>
    <x v="411"/>
    <n v="8"/>
    <n v="2025"/>
    <n v="3"/>
    <x v="5"/>
    <x v="1"/>
    <x v="0"/>
    <s v="HR Revenue - East"/>
    <n v="5327.04"/>
    <n v="5452.72"/>
  </r>
  <r>
    <x v="411"/>
    <n v="8"/>
    <n v="2025"/>
    <n v="3"/>
    <x v="5"/>
    <x v="0"/>
    <x v="0"/>
    <s v="HR Expense - East"/>
    <n v="-3883.29"/>
    <m/>
  </r>
  <r>
    <x v="411"/>
    <n v="8"/>
    <n v="2025"/>
    <n v="3"/>
    <x v="1"/>
    <x v="1"/>
    <x v="3"/>
    <s v="R&amp;D Revenue - South"/>
    <n v="9288.08"/>
    <n v="10026.129999999999"/>
  </r>
  <r>
    <x v="412"/>
    <n v="8"/>
    <n v="2025"/>
    <n v="3"/>
    <x v="0"/>
    <x v="0"/>
    <x v="3"/>
    <s v="Services Expense - South"/>
    <n v="-18686.39"/>
    <m/>
  </r>
  <r>
    <x v="412"/>
    <n v="8"/>
    <n v="2025"/>
    <n v="3"/>
    <x v="7"/>
    <x v="1"/>
    <x v="3"/>
    <s v="Operations Revenue - South"/>
    <n v="16277.02"/>
    <n v="15159.46"/>
  </r>
  <r>
    <x v="413"/>
    <n v="8"/>
    <n v="2025"/>
    <n v="3"/>
    <x v="5"/>
    <x v="0"/>
    <x v="1"/>
    <s v="HR Expense - West"/>
    <n v="-1379.38"/>
    <m/>
  </r>
  <r>
    <x v="413"/>
    <n v="8"/>
    <n v="2025"/>
    <n v="3"/>
    <x v="2"/>
    <x v="1"/>
    <x v="1"/>
    <s v="G&amp;A Revenue - West"/>
    <n v="6578.9"/>
    <n v="7232.2"/>
  </r>
  <r>
    <x v="413"/>
    <n v="8"/>
    <n v="2025"/>
    <n v="3"/>
    <x v="6"/>
    <x v="0"/>
    <x v="2"/>
    <s v="Sales Expense - North"/>
    <n v="-37750.75"/>
    <m/>
  </r>
  <r>
    <x v="414"/>
    <n v="8"/>
    <n v="2025"/>
    <n v="3"/>
    <x v="7"/>
    <x v="0"/>
    <x v="1"/>
    <s v="Operations Expense - West"/>
    <n v="-5940.47"/>
    <m/>
  </r>
  <r>
    <x v="414"/>
    <n v="8"/>
    <n v="2025"/>
    <n v="3"/>
    <x v="7"/>
    <x v="1"/>
    <x v="2"/>
    <s v="Operations Revenue - North"/>
    <n v="17078.91"/>
    <n v="15968.06"/>
  </r>
  <r>
    <x v="414"/>
    <n v="8"/>
    <n v="2025"/>
    <n v="3"/>
    <x v="6"/>
    <x v="1"/>
    <x v="3"/>
    <s v="Sales Revenue - South"/>
    <n v="23645.62"/>
    <n v="22274"/>
  </r>
  <r>
    <x v="415"/>
    <n v="8"/>
    <n v="2025"/>
    <n v="3"/>
    <x v="3"/>
    <x v="1"/>
    <x v="2"/>
    <s v="Subscriptions Revenue - North"/>
    <n v="23510.85"/>
    <n v="24224.880000000001"/>
  </r>
  <r>
    <x v="415"/>
    <n v="8"/>
    <n v="2025"/>
    <n v="3"/>
    <x v="7"/>
    <x v="0"/>
    <x v="3"/>
    <s v="Operations Expense - South"/>
    <n v="-9801.18"/>
    <m/>
  </r>
  <r>
    <x v="416"/>
    <n v="8"/>
    <n v="2025"/>
    <n v="3"/>
    <x v="2"/>
    <x v="0"/>
    <x v="1"/>
    <s v="G&amp;A Expense - West"/>
    <n v="-5490.39"/>
    <m/>
  </r>
  <r>
    <x v="417"/>
    <n v="8"/>
    <n v="2025"/>
    <n v="3"/>
    <x v="7"/>
    <x v="0"/>
    <x v="2"/>
    <s v="Operations Expense - North"/>
    <n v="-25754.73"/>
    <m/>
  </r>
  <r>
    <x v="418"/>
    <n v="8"/>
    <n v="2025"/>
    <n v="3"/>
    <x v="7"/>
    <x v="1"/>
    <x v="0"/>
    <s v="Operations Revenue - East"/>
    <n v="16066.1"/>
    <n v="16808.95"/>
  </r>
  <r>
    <x v="418"/>
    <n v="8"/>
    <n v="2025"/>
    <n v="3"/>
    <x v="3"/>
    <x v="1"/>
    <x v="1"/>
    <s v="Subscriptions Revenue - West"/>
    <n v="20965.740000000002"/>
    <n v="21380.2"/>
  </r>
  <r>
    <x v="418"/>
    <n v="8"/>
    <n v="2025"/>
    <n v="3"/>
    <x v="1"/>
    <x v="1"/>
    <x v="1"/>
    <s v="R&amp;D Revenue - West"/>
    <n v="13922.9"/>
    <n v="15049.41"/>
  </r>
  <r>
    <x v="418"/>
    <n v="8"/>
    <n v="2025"/>
    <n v="3"/>
    <x v="6"/>
    <x v="0"/>
    <x v="3"/>
    <s v="Sales Expense - South"/>
    <n v="-33259.379999999997"/>
    <m/>
  </r>
  <r>
    <x v="418"/>
    <n v="8"/>
    <n v="2025"/>
    <n v="3"/>
    <x v="5"/>
    <x v="0"/>
    <x v="3"/>
    <s v="HR Expense - South"/>
    <n v="-3053.53"/>
    <m/>
  </r>
  <r>
    <x v="419"/>
    <n v="8"/>
    <n v="2025"/>
    <n v="3"/>
    <x v="3"/>
    <x v="1"/>
    <x v="0"/>
    <s v="Subscriptions Revenue - East"/>
    <n v="28906.5"/>
    <n v="30949.09"/>
  </r>
  <r>
    <x v="419"/>
    <n v="8"/>
    <n v="2025"/>
    <n v="3"/>
    <x v="4"/>
    <x v="1"/>
    <x v="0"/>
    <s v="Marketing Revenue - East"/>
    <n v="9872.17"/>
    <n v="9344.83"/>
  </r>
  <r>
    <x v="419"/>
    <n v="8"/>
    <n v="2025"/>
    <n v="3"/>
    <x v="7"/>
    <x v="1"/>
    <x v="1"/>
    <s v="Operations Revenue - West"/>
    <n v="16011.46"/>
    <n v="15403.24"/>
  </r>
  <r>
    <x v="420"/>
    <n v="8"/>
    <n v="2025"/>
    <n v="3"/>
    <x v="4"/>
    <x v="1"/>
    <x v="1"/>
    <s v="Marketing Revenue - West"/>
    <n v="7838.08"/>
    <n v="7798.23"/>
  </r>
  <r>
    <x v="421"/>
    <n v="8"/>
    <n v="2025"/>
    <n v="3"/>
    <x v="1"/>
    <x v="1"/>
    <x v="2"/>
    <s v="R&amp;D Revenue - North"/>
    <n v="8682.76"/>
    <n v="9015.43"/>
  </r>
  <r>
    <x v="421"/>
    <n v="8"/>
    <n v="2025"/>
    <n v="3"/>
    <x v="2"/>
    <x v="0"/>
    <x v="3"/>
    <s v="G&amp;A Expense - South"/>
    <n v="-2970.13"/>
    <m/>
  </r>
  <r>
    <x v="422"/>
    <n v="9"/>
    <n v="2025"/>
    <n v="3"/>
    <x v="0"/>
    <x v="1"/>
    <x v="1"/>
    <s v="Services Revenue - West"/>
    <n v="17929.62"/>
    <n v="18099.509999999998"/>
  </r>
  <r>
    <x v="422"/>
    <n v="9"/>
    <n v="2025"/>
    <n v="3"/>
    <x v="0"/>
    <x v="1"/>
    <x v="3"/>
    <s v="Services Revenue - South"/>
    <n v="14479.28"/>
    <n v="13969.25"/>
  </r>
  <r>
    <x v="423"/>
    <n v="9"/>
    <n v="2025"/>
    <n v="3"/>
    <x v="3"/>
    <x v="1"/>
    <x v="0"/>
    <s v="Subscriptions Revenue - East"/>
    <n v="21751.32"/>
    <n v="20660.68"/>
  </r>
  <r>
    <x v="424"/>
    <n v="9"/>
    <n v="2025"/>
    <n v="3"/>
    <x v="4"/>
    <x v="1"/>
    <x v="2"/>
    <s v="Marketing Revenue - North"/>
    <n v="5237.7"/>
    <n v="5260.45"/>
  </r>
  <r>
    <x v="425"/>
    <n v="9"/>
    <n v="2025"/>
    <n v="3"/>
    <x v="4"/>
    <x v="0"/>
    <x v="0"/>
    <s v="Marketing Expense - East"/>
    <n v="-2497.44"/>
    <m/>
  </r>
  <r>
    <x v="425"/>
    <n v="9"/>
    <n v="2025"/>
    <n v="3"/>
    <x v="4"/>
    <x v="1"/>
    <x v="3"/>
    <s v="Marketing Revenue - South"/>
    <n v="5364.93"/>
    <n v="5081.82"/>
  </r>
  <r>
    <x v="426"/>
    <n v="9"/>
    <n v="2025"/>
    <n v="3"/>
    <x v="0"/>
    <x v="1"/>
    <x v="0"/>
    <s v="Services Revenue - East"/>
    <n v="20180.57"/>
    <n v="19541.5"/>
  </r>
  <r>
    <x v="426"/>
    <n v="9"/>
    <n v="2025"/>
    <n v="3"/>
    <x v="6"/>
    <x v="1"/>
    <x v="3"/>
    <s v="Sales Revenue - South"/>
    <n v="23645.49"/>
    <n v="23501.73"/>
  </r>
  <r>
    <x v="427"/>
    <n v="9"/>
    <n v="2025"/>
    <n v="3"/>
    <x v="7"/>
    <x v="1"/>
    <x v="0"/>
    <s v="Operations Revenue - East"/>
    <n v="9991.1"/>
    <n v="9375.5"/>
  </r>
  <r>
    <x v="427"/>
    <n v="9"/>
    <n v="2025"/>
    <n v="3"/>
    <x v="5"/>
    <x v="1"/>
    <x v="2"/>
    <s v="HR Revenue - North"/>
    <n v="4033.57"/>
    <n v="4081.04"/>
  </r>
  <r>
    <x v="428"/>
    <n v="9"/>
    <n v="2025"/>
    <n v="3"/>
    <x v="6"/>
    <x v="0"/>
    <x v="0"/>
    <s v="Sales Expense - East"/>
    <n v="-10428.33"/>
    <m/>
  </r>
  <r>
    <x v="428"/>
    <n v="9"/>
    <n v="2025"/>
    <n v="3"/>
    <x v="5"/>
    <x v="0"/>
    <x v="2"/>
    <s v="HR Expense - North"/>
    <n v="-2756.41"/>
    <m/>
  </r>
  <r>
    <x v="428"/>
    <n v="9"/>
    <n v="2025"/>
    <n v="3"/>
    <x v="1"/>
    <x v="0"/>
    <x v="3"/>
    <s v="R&amp;D Expense - South"/>
    <n v="-14547.9"/>
    <m/>
  </r>
  <r>
    <x v="429"/>
    <n v="9"/>
    <n v="2025"/>
    <n v="3"/>
    <x v="1"/>
    <x v="1"/>
    <x v="1"/>
    <s v="R&amp;D Revenue - West"/>
    <n v="7694.68"/>
    <n v="7531.47"/>
  </r>
  <r>
    <x v="429"/>
    <n v="9"/>
    <n v="2025"/>
    <n v="3"/>
    <x v="4"/>
    <x v="0"/>
    <x v="2"/>
    <s v="Marketing Expense - North"/>
    <n v="-4135.41"/>
    <m/>
  </r>
  <r>
    <x v="429"/>
    <n v="9"/>
    <n v="2025"/>
    <n v="3"/>
    <x v="7"/>
    <x v="0"/>
    <x v="3"/>
    <s v="Operations Expense - South"/>
    <n v="-8422.2999999999993"/>
    <m/>
  </r>
  <r>
    <x v="430"/>
    <n v="9"/>
    <n v="2025"/>
    <n v="3"/>
    <x v="0"/>
    <x v="0"/>
    <x v="0"/>
    <s v="Services Expense - East"/>
    <n v="-24443.74"/>
    <m/>
  </r>
  <r>
    <x v="430"/>
    <n v="9"/>
    <n v="2025"/>
    <n v="3"/>
    <x v="2"/>
    <x v="0"/>
    <x v="1"/>
    <s v="G&amp;A Expense - West"/>
    <n v="-5715.05"/>
    <m/>
  </r>
  <r>
    <x v="431"/>
    <n v="9"/>
    <n v="2025"/>
    <n v="3"/>
    <x v="7"/>
    <x v="1"/>
    <x v="1"/>
    <s v="Operations Revenue - West"/>
    <n v="13875.37"/>
    <n v="14970.36"/>
  </r>
  <r>
    <x v="432"/>
    <n v="9"/>
    <n v="2025"/>
    <n v="3"/>
    <x v="7"/>
    <x v="0"/>
    <x v="0"/>
    <s v="Operations Expense - East"/>
    <n v="-7162.14"/>
    <m/>
  </r>
  <r>
    <x v="432"/>
    <n v="9"/>
    <n v="2025"/>
    <n v="3"/>
    <x v="4"/>
    <x v="1"/>
    <x v="1"/>
    <s v="Marketing Revenue - West"/>
    <n v="7565.98"/>
    <n v="8148"/>
  </r>
  <r>
    <x v="432"/>
    <n v="9"/>
    <n v="2025"/>
    <n v="3"/>
    <x v="7"/>
    <x v="0"/>
    <x v="1"/>
    <s v="Operations Expense - West"/>
    <n v="-11749.85"/>
    <m/>
  </r>
  <r>
    <x v="432"/>
    <n v="9"/>
    <n v="2025"/>
    <n v="3"/>
    <x v="5"/>
    <x v="1"/>
    <x v="1"/>
    <s v="HR Revenue - West"/>
    <n v="4287.54"/>
    <n v="4125.63"/>
  </r>
  <r>
    <x v="432"/>
    <n v="9"/>
    <n v="2025"/>
    <n v="3"/>
    <x v="6"/>
    <x v="0"/>
    <x v="2"/>
    <s v="Sales Expense - North"/>
    <n v="-26997.63"/>
    <m/>
  </r>
  <r>
    <x v="433"/>
    <n v="9"/>
    <n v="2025"/>
    <n v="3"/>
    <x v="1"/>
    <x v="1"/>
    <x v="0"/>
    <s v="R&amp;D Revenue - East"/>
    <n v="11246.29"/>
    <n v="12207.02"/>
  </r>
  <r>
    <x v="433"/>
    <n v="9"/>
    <n v="2025"/>
    <n v="3"/>
    <x v="5"/>
    <x v="0"/>
    <x v="1"/>
    <s v="HR Expense - West"/>
    <n v="-1311.99"/>
    <m/>
  </r>
  <r>
    <x v="433"/>
    <n v="9"/>
    <n v="2025"/>
    <n v="3"/>
    <x v="2"/>
    <x v="1"/>
    <x v="3"/>
    <s v="G&amp;A Revenue - South"/>
    <n v="3853.21"/>
    <n v="4201.62"/>
  </r>
  <r>
    <x v="433"/>
    <n v="9"/>
    <n v="2025"/>
    <n v="3"/>
    <x v="2"/>
    <x v="0"/>
    <x v="3"/>
    <s v="G&amp;A Expense - South"/>
    <n v="-4810.71"/>
    <m/>
  </r>
  <r>
    <x v="434"/>
    <n v="9"/>
    <n v="2025"/>
    <n v="3"/>
    <x v="3"/>
    <x v="0"/>
    <x v="0"/>
    <s v="Subscriptions Expense - East"/>
    <n v="-17035.79"/>
    <m/>
  </r>
  <r>
    <x v="434"/>
    <n v="9"/>
    <n v="2025"/>
    <n v="3"/>
    <x v="1"/>
    <x v="0"/>
    <x v="0"/>
    <s v="R&amp;D Expense - East"/>
    <n v="-6897.89"/>
    <m/>
  </r>
  <r>
    <x v="434"/>
    <n v="9"/>
    <n v="2025"/>
    <n v="3"/>
    <x v="3"/>
    <x v="0"/>
    <x v="1"/>
    <s v="Subscriptions Expense - West"/>
    <n v="-9837.4599999999991"/>
    <m/>
  </r>
  <r>
    <x v="434"/>
    <n v="9"/>
    <n v="2025"/>
    <n v="3"/>
    <x v="3"/>
    <x v="1"/>
    <x v="3"/>
    <s v="Subscriptions Revenue - South"/>
    <n v="19488.93"/>
    <n v="18556.810000000001"/>
  </r>
  <r>
    <x v="434"/>
    <n v="9"/>
    <n v="2025"/>
    <n v="3"/>
    <x v="4"/>
    <x v="0"/>
    <x v="3"/>
    <s v="Marketing Expense - South"/>
    <n v="-2213.67"/>
    <m/>
  </r>
  <r>
    <x v="434"/>
    <n v="9"/>
    <n v="2025"/>
    <n v="3"/>
    <x v="5"/>
    <x v="1"/>
    <x v="3"/>
    <s v="HR Revenue - South"/>
    <n v="3186.72"/>
    <n v="3395.69"/>
  </r>
  <r>
    <x v="435"/>
    <n v="9"/>
    <n v="2025"/>
    <n v="3"/>
    <x v="0"/>
    <x v="0"/>
    <x v="1"/>
    <s v="Services Expense - West"/>
    <n v="-9359.27"/>
    <m/>
  </r>
  <r>
    <x v="435"/>
    <n v="9"/>
    <n v="2025"/>
    <n v="3"/>
    <x v="1"/>
    <x v="0"/>
    <x v="1"/>
    <s v="R&amp;D Expense - West"/>
    <n v="-5776.63"/>
    <m/>
  </r>
  <r>
    <x v="435"/>
    <n v="9"/>
    <n v="2025"/>
    <n v="3"/>
    <x v="0"/>
    <x v="1"/>
    <x v="2"/>
    <s v="Services Revenue - North"/>
    <n v="12083.73"/>
    <n v="12480.64"/>
  </r>
  <r>
    <x v="435"/>
    <n v="9"/>
    <n v="2025"/>
    <n v="3"/>
    <x v="3"/>
    <x v="0"/>
    <x v="3"/>
    <s v="Subscriptions Expense - South"/>
    <n v="-9769.93"/>
    <m/>
  </r>
  <r>
    <x v="435"/>
    <n v="9"/>
    <n v="2025"/>
    <n v="3"/>
    <x v="5"/>
    <x v="0"/>
    <x v="3"/>
    <s v="HR Expense - South"/>
    <n v="-3190.33"/>
    <m/>
  </r>
  <r>
    <x v="436"/>
    <n v="9"/>
    <n v="2025"/>
    <n v="3"/>
    <x v="6"/>
    <x v="1"/>
    <x v="0"/>
    <s v="Sales Revenue - East"/>
    <n v="20490.3"/>
    <n v="20540.97"/>
  </r>
  <r>
    <x v="436"/>
    <n v="9"/>
    <n v="2025"/>
    <n v="3"/>
    <x v="3"/>
    <x v="0"/>
    <x v="2"/>
    <s v="Subscriptions Expense - North"/>
    <n v="-6424.2"/>
    <m/>
  </r>
  <r>
    <x v="437"/>
    <n v="9"/>
    <n v="2025"/>
    <n v="3"/>
    <x v="0"/>
    <x v="0"/>
    <x v="2"/>
    <s v="Services Expense - North"/>
    <n v="-10076.09"/>
    <m/>
  </r>
  <r>
    <x v="438"/>
    <n v="9"/>
    <n v="2025"/>
    <n v="3"/>
    <x v="2"/>
    <x v="1"/>
    <x v="1"/>
    <s v="G&amp;A Revenue - West"/>
    <n v="3760.48"/>
    <n v="3776.26"/>
  </r>
  <r>
    <x v="438"/>
    <n v="9"/>
    <n v="2025"/>
    <n v="3"/>
    <x v="6"/>
    <x v="0"/>
    <x v="3"/>
    <s v="Sales Expense - South"/>
    <n v="-9322.25"/>
    <m/>
  </r>
  <r>
    <x v="439"/>
    <n v="9"/>
    <n v="2025"/>
    <n v="3"/>
    <x v="6"/>
    <x v="1"/>
    <x v="1"/>
    <s v="Sales Revenue - West"/>
    <n v="22380.78"/>
    <n v="21049.73"/>
  </r>
  <r>
    <x v="440"/>
    <n v="9"/>
    <n v="2025"/>
    <n v="3"/>
    <x v="2"/>
    <x v="1"/>
    <x v="0"/>
    <s v="G&amp;A Revenue - East"/>
    <n v="4719.55"/>
    <n v="4394.17"/>
  </r>
  <r>
    <x v="440"/>
    <n v="9"/>
    <n v="2025"/>
    <n v="3"/>
    <x v="2"/>
    <x v="0"/>
    <x v="0"/>
    <s v="G&amp;A Expense - East"/>
    <n v="-5563.9"/>
    <m/>
  </r>
  <r>
    <x v="440"/>
    <n v="9"/>
    <n v="2025"/>
    <n v="3"/>
    <x v="6"/>
    <x v="0"/>
    <x v="1"/>
    <s v="Sales Expense - West"/>
    <n v="-10972.16"/>
    <m/>
  </r>
  <r>
    <x v="440"/>
    <n v="9"/>
    <n v="2025"/>
    <n v="3"/>
    <x v="1"/>
    <x v="1"/>
    <x v="2"/>
    <s v="R&amp;D Revenue - North"/>
    <n v="9122.2900000000009"/>
    <n v="9333.42"/>
  </r>
  <r>
    <x v="441"/>
    <n v="9"/>
    <n v="2025"/>
    <n v="3"/>
    <x v="5"/>
    <x v="1"/>
    <x v="0"/>
    <s v="HR Revenue - East"/>
    <n v="3599.35"/>
    <n v="3919.7"/>
  </r>
  <r>
    <x v="442"/>
    <n v="9"/>
    <n v="2025"/>
    <n v="3"/>
    <x v="6"/>
    <x v="1"/>
    <x v="2"/>
    <s v="Sales Revenue - North"/>
    <n v="19606.71"/>
    <n v="20092.47"/>
  </r>
  <r>
    <x v="442"/>
    <n v="9"/>
    <n v="2025"/>
    <n v="3"/>
    <x v="7"/>
    <x v="1"/>
    <x v="2"/>
    <s v="Operations Revenue - North"/>
    <n v="9618.6"/>
    <n v="9561.1299999999992"/>
  </r>
  <r>
    <x v="442"/>
    <n v="9"/>
    <n v="2025"/>
    <n v="3"/>
    <x v="7"/>
    <x v="0"/>
    <x v="2"/>
    <s v="Operations Expense - North"/>
    <n v="-5064.6000000000004"/>
    <m/>
  </r>
  <r>
    <x v="443"/>
    <n v="9"/>
    <n v="2025"/>
    <n v="3"/>
    <x v="0"/>
    <x v="0"/>
    <x v="3"/>
    <s v="Services Expense - South"/>
    <n v="-5320.45"/>
    <m/>
  </r>
  <r>
    <x v="444"/>
    <n v="9"/>
    <n v="2025"/>
    <n v="3"/>
    <x v="5"/>
    <x v="0"/>
    <x v="0"/>
    <s v="HR Expense - East"/>
    <n v="-2906.03"/>
    <m/>
  </r>
  <r>
    <x v="444"/>
    <n v="9"/>
    <n v="2025"/>
    <n v="3"/>
    <x v="4"/>
    <x v="0"/>
    <x v="1"/>
    <s v="Marketing Expense - West"/>
    <n v="-4767.28"/>
    <m/>
  </r>
  <r>
    <x v="444"/>
    <n v="9"/>
    <n v="2025"/>
    <n v="3"/>
    <x v="3"/>
    <x v="1"/>
    <x v="2"/>
    <s v="Subscriptions Revenue - North"/>
    <n v="13839.57"/>
    <n v="14370.39"/>
  </r>
  <r>
    <x v="444"/>
    <n v="9"/>
    <n v="2025"/>
    <n v="3"/>
    <x v="1"/>
    <x v="0"/>
    <x v="2"/>
    <s v="R&amp;D Expense - North"/>
    <n v="-8382.65"/>
    <m/>
  </r>
  <r>
    <x v="445"/>
    <n v="9"/>
    <n v="2025"/>
    <n v="3"/>
    <x v="3"/>
    <x v="1"/>
    <x v="1"/>
    <s v="Subscriptions Revenue - West"/>
    <n v="15172.14"/>
    <n v="16433.5"/>
  </r>
  <r>
    <x v="446"/>
    <n v="9"/>
    <n v="2025"/>
    <n v="3"/>
    <x v="4"/>
    <x v="1"/>
    <x v="0"/>
    <s v="Marketing Revenue - East"/>
    <n v="6209.95"/>
    <n v="5843.26"/>
  </r>
  <r>
    <x v="446"/>
    <n v="9"/>
    <n v="2025"/>
    <n v="3"/>
    <x v="2"/>
    <x v="0"/>
    <x v="2"/>
    <s v="G&amp;A Expense - North"/>
    <n v="-1233.8499999999999"/>
    <m/>
  </r>
  <r>
    <x v="446"/>
    <n v="9"/>
    <n v="2025"/>
    <n v="3"/>
    <x v="1"/>
    <x v="1"/>
    <x v="3"/>
    <s v="R&amp;D Revenue - South"/>
    <n v="8796.25"/>
    <n v="8764.1299999999992"/>
  </r>
  <r>
    <x v="447"/>
    <n v="9"/>
    <n v="2025"/>
    <n v="3"/>
    <x v="2"/>
    <x v="1"/>
    <x v="2"/>
    <s v="G&amp;A Revenue - North"/>
    <n v="3752.56"/>
    <n v="3785"/>
  </r>
  <r>
    <x v="447"/>
    <n v="9"/>
    <n v="2025"/>
    <n v="3"/>
    <x v="7"/>
    <x v="1"/>
    <x v="3"/>
    <s v="Operations Revenue - South"/>
    <n v="11280.71"/>
    <n v="11125.27"/>
  </r>
  <r>
    <x v="448"/>
    <n v="10"/>
    <n v="2025"/>
    <n v="4"/>
    <x v="1"/>
    <x v="1"/>
    <x v="1"/>
    <s v="R&amp;D Revenue - West"/>
    <n v="15154.49"/>
    <n v="15174.72"/>
  </r>
  <r>
    <x v="449"/>
    <n v="10"/>
    <n v="2025"/>
    <n v="4"/>
    <x v="6"/>
    <x v="1"/>
    <x v="0"/>
    <s v="Sales Revenue - East"/>
    <n v="30809.69"/>
    <n v="30832.38"/>
  </r>
  <r>
    <x v="450"/>
    <n v="10"/>
    <n v="2025"/>
    <n v="4"/>
    <x v="4"/>
    <x v="0"/>
    <x v="0"/>
    <s v="Marketing Expense - East"/>
    <n v="-5174.3999999999996"/>
    <m/>
  </r>
  <r>
    <x v="450"/>
    <n v="10"/>
    <n v="2025"/>
    <n v="4"/>
    <x v="1"/>
    <x v="1"/>
    <x v="0"/>
    <s v="R&amp;D Revenue - East"/>
    <n v="13027.61"/>
    <n v="12653.56"/>
  </r>
  <r>
    <x v="450"/>
    <n v="10"/>
    <n v="2025"/>
    <n v="4"/>
    <x v="5"/>
    <x v="1"/>
    <x v="3"/>
    <s v="HR Revenue - South"/>
    <n v="4247.66"/>
    <n v="4424.3599999999997"/>
  </r>
  <r>
    <x v="451"/>
    <n v="10"/>
    <n v="2025"/>
    <n v="4"/>
    <x v="3"/>
    <x v="1"/>
    <x v="2"/>
    <s v="Subscriptions Revenue - North"/>
    <n v="23786.66"/>
    <n v="24461.86"/>
  </r>
  <r>
    <x v="451"/>
    <n v="10"/>
    <n v="2025"/>
    <n v="4"/>
    <x v="3"/>
    <x v="0"/>
    <x v="2"/>
    <s v="Subscriptions Expense - North"/>
    <n v="-8517.99"/>
    <m/>
  </r>
  <r>
    <x v="452"/>
    <n v="10"/>
    <n v="2025"/>
    <n v="4"/>
    <x v="7"/>
    <x v="0"/>
    <x v="1"/>
    <s v="Operations Expense - West"/>
    <n v="-5312.33"/>
    <m/>
  </r>
  <r>
    <x v="452"/>
    <n v="10"/>
    <n v="2025"/>
    <n v="4"/>
    <x v="2"/>
    <x v="0"/>
    <x v="2"/>
    <s v="G&amp;A Expense - North"/>
    <n v="-2414.4899999999998"/>
    <m/>
  </r>
  <r>
    <x v="453"/>
    <n v="10"/>
    <n v="2025"/>
    <n v="4"/>
    <x v="0"/>
    <x v="0"/>
    <x v="1"/>
    <s v="Services Expense - West"/>
    <n v="-18494.669999999998"/>
    <m/>
  </r>
  <r>
    <x v="453"/>
    <n v="10"/>
    <n v="2025"/>
    <n v="4"/>
    <x v="4"/>
    <x v="0"/>
    <x v="1"/>
    <s v="Marketing Expense - West"/>
    <n v="-5038.97"/>
    <m/>
  </r>
  <r>
    <x v="453"/>
    <n v="10"/>
    <n v="2025"/>
    <n v="4"/>
    <x v="5"/>
    <x v="0"/>
    <x v="1"/>
    <s v="HR Expense - West"/>
    <n v="-1877.15"/>
    <m/>
  </r>
  <r>
    <x v="453"/>
    <n v="10"/>
    <n v="2025"/>
    <n v="4"/>
    <x v="1"/>
    <x v="0"/>
    <x v="1"/>
    <s v="R&amp;D Expense - West"/>
    <n v="-4847.53"/>
    <m/>
  </r>
  <r>
    <x v="453"/>
    <n v="10"/>
    <n v="2025"/>
    <n v="4"/>
    <x v="6"/>
    <x v="0"/>
    <x v="3"/>
    <s v="Sales Expense - South"/>
    <n v="-38682.03"/>
    <m/>
  </r>
  <r>
    <x v="454"/>
    <n v="10"/>
    <n v="2025"/>
    <n v="4"/>
    <x v="0"/>
    <x v="0"/>
    <x v="2"/>
    <s v="Services Expense - North"/>
    <n v="-12036.13"/>
    <m/>
  </r>
  <r>
    <x v="454"/>
    <n v="10"/>
    <n v="2025"/>
    <n v="4"/>
    <x v="6"/>
    <x v="1"/>
    <x v="3"/>
    <s v="Sales Revenue - South"/>
    <n v="27647.16"/>
    <n v="28500.1"/>
  </r>
  <r>
    <x v="455"/>
    <n v="10"/>
    <n v="2025"/>
    <n v="4"/>
    <x v="0"/>
    <x v="0"/>
    <x v="0"/>
    <s v="Services Expense - East"/>
    <n v="-17549.68"/>
    <m/>
  </r>
  <r>
    <x v="456"/>
    <n v="10"/>
    <n v="2025"/>
    <n v="4"/>
    <x v="7"/>
    <x v="1"/>
    <x v="2"/>
    <s v="Operations Revenue - North"/>
    <n v="19607.240000000002"/>
    <n v="19035.54"/>
  </r>
  <r>
    <x v="457"/>
    <n v="10"/>
    <n v="2025"/>
    <n v="4"/>
    <x v="7"/>
    <x v="1"/>
    <x v="0"/>
    <s v="Operations Revenue - East"/>
    <n v="15134.24"/>
    <n v="14632.03"/>
  </r>
  <r>
    <x v="457"/>
    <n v="10"/>
    <n v="2025"/>
    <n v="4"/>
    <x v="2"/>
    <x v="0"/>
    <x v="0"/>
    <s v="G&amp;A Expense - East"/>
    <n v="-5996.62"/>
    <m/>
  </r>
  <r>
    <x v="457"/>
    <n v="10"/>
    <n v="2025"/>
    <n v="4"/>
    <x v="6"/>
    <x v="0"/>
    <x v="1"/>
    <s v="Sales Expense - West"/>
    <n v="-51483.02"/>
    <m/>
  </r>
  <r>
    <x v="457"/>
    <n v="10"/>
    <n v="2025"/>
    <n v="4"/>
    <x v="0"/>
    <x v="1"/>
    <x v="1"/>
    <s v="Services Revenue - West"/>
    <n v="24315.47"/>
    <n v="24939.75"/>
  </r>
  <r>
    <x v="458"/>
    <n v="10"/>
    <n v="2025"/>
    <n v="4"/>
    <x v="5"/>
    <x v="0"/>
    <x v="0"/>
    <s v="HR Expense - East"/>
    <n v="-5701.52"/>
    <m/>
  </r>
  <r>
    <x v="459"/>
    <n v="10"/>
    <n v="2025"/>
    <n v="4"/>
    <x v="0"/>
    <x v="1"/>
    <x v="3"/>
    <s v="Services Revenue - South"/>
    <n v="18243.57"/>
    <n v="19381.41"/>
  </r>
  <r>
    <x v="460"/>
    <n v="10"/>
    <n v="2025"/>
    <n v="4"/>
    <x v="6"/>
    <x v="1"/>
    <x v="1"/>
    <s v="Sales Revenue - West"/>
    <n v="39118.31"/>
    <n v="41511.230000000003"/>
  </r>
  <r>
    <x v="460"/>
    <n v="10"/>
    <n v="2025"/>
    <n v="4"/>
    <x v="4"/>
    <x v="0"/>
    <x v="2"/>
    <s v="Marketing Expense - North"/>
    <n v="-7729.7"/>
    <m/>
  </r>
  <r>
    <x v="461"/>
    <n v="10"/>
    <n v="2025"/>
    <n v="4"/>
    <x v="3"/>
    <x v="0"/>
    <x v="0"/>
    <s v="Subscriptions Expense - East"/>
    <n v="-11930.83"/>
    <m/>
  </r>
  <r>
    <x v="461"/>
    <n v="10"/>
    <n v="2025"/>
    <n v="4"/>
    <x v="2"/>
    <x v="0"/>
    <x v="3"/>
    <s v="G&amp;A Expense - South"/>
    <n v="-4276.7299999999996"/>
    <m/>
  </r>
  <r>
    <x v="462"/>
    <n v="10"/>
    <n v="2025"/>
    <n v="4"/>
    <x v="3"/>
    <x v="0"/>
    <x v="1"/>
    <s v="Subscriptions Expense - West"/>
    <n v="-21739.62"/>
    <m/>
  </r>
  <r>
    <x v="462"/>
    <n v="10"/>
    <n v="2025"/>
    <n v="4"/>
    <x v="7"/>
    <x v="0"/>
    <x v="3"/>
    <s v="Operations Expense - South"/>
    <n v="-13363.27"/>
    <m/>
  </r>
  <r>
    <x v="463"/>
    <n v="10"/>
    <n v="2025"/>
    <n v="4"/>
    <x v="6"/>
    <x v="1"/>
    <x v="2"/>
    <s v="Sales Revenue - North"/>
    <n v="24321.42"/>
    <n v="26344.95"/>
  </r>
  <r>
    <x v="463"/>
    <n v="10"/>
    <n v="2025"/>
    <n v="4"/>
    <x v="6"/>
    <x v="0"/>
    <x v="2"/>
    <s v="Sales Expense - North"/>
    <n v="-14269.29"/>
    <m/>
  </r>
  <r>
    <x v="463"/>
    <n v="10"/>
    <n v="2025"/>
    <n v="4"/>
    <x v="4"/>
    <x v="0"/>
    <x v="3"/>
    <s v="Marketing Expense - South"/>
    <n v="-5741.77"/>
    <m/>
  </r>
  <r>
    <x v="463"/>
    <n v="10"/>
    <n v="2025"/>
    <n v="4"/>
    <x v="7"/>
    <x v="1"/>
    <x v="3"/>
    <s v="Operations Revenue - South"/>
    <n v="16019.43"/>
    <n v="16265.23"/>
  </r>
  <r>
    <x v="463"/>
    <n v="10"/>
    <n v="2025"/>
    <n v="4"/>
    <x v="5"/>
    <x v="0"/>
    <x v="3"/>
    <s v="HR Expense - South"/>
    <n v="-4936.4400000000005"/>
    <m/>
  </r>
  <r>
    <x v="463"/>
    <n v="10"/>
    <n v="2025"/>
    <n v="4"/>
    <x v="1"/>
    <x v="0"/>
    <x v="3"/>
    <s v="R&amp;D Expense - South"/>
    <n v="-12810.34"/>
    <m/>
  </r>
  <r>
    <x v="464"/>
    <n v="10"/>
    <n v="2025"/>
    <n v="4"/>
    <x v="5"/>
    <x v="1"/>
    <x v="2"/>
    <s v="HR Revenue - North"/>
    <n v="4214.24"/>
    <n v="4374.5600000000004"/>
  </r>
  <r>
    <x v="465"/>
    <n v="10"/>
    <n v="2025"/>
    <n v="4"/>
    <x v="6"/>
    <x v="0"/>
    <x v="0"/>
    <s v="Sales Expense - East"/>
    <n v="-19203.71"/>
    <m/>
  </r>
  <r>
    <x v="465"/>
    <n v="10"/>
    <n v="2025"/>
    <n v="4"/>
    <x v="5"/>
    <x v="0"/>
    <x v="2"/>
    <s v="HR Expense - North"/>
    <n v="-2777.59"/>
    <m/>
  </r>
  <r>
    <x v="466"/>
    <n v="10"/>
    <n v="2025"/>
    <n v="4"/>
    <x v="3"/>
    <x v="1"/>
    <x v="0"/>
    <s v="Subscriptions Revenue - East"/>
    <n v="31334.81"/>
    <n v="33816.17"/>
  </r>
  <r>
    <x v="466"/>
    <n v="10"/>
    <n v="2025"/>
    <n v="4"/>
    <x v="1"/>
    <x v="1"/>
    <x v="2"/>
    <s v="R&amp;D Revenue - North"/>
    <n v="12511.74"/>
    <n v="12364.92"/>
  </r>
  <r>
    <x v="466"/>
    <n v="10"/>
    <n v="2025"/>
    <n v="4"/>
    <x v="2"/>
    <x v="1"/>
    <x v="3"/>
    <s v="G&amp;A Revenue - South"/>
    <n v="4871.6000000000004"/>
    <n v="5278.24"/>
  </r>
  <r>
    <x v="467"/>
    <n v="10"/>
    <n v="2025"/>
    <n v="4"/>
    <x v="2"/>
    <x v="1"/>
    <x v="1"/>
    <s v="G&amp;A Revenue - West"/>
    <n v="6409.73"/>
    <n v="6530.22"/>
  </r>
  <r>
    <x v="468"/>
    <n v="10"/>
    <n v="2025"/>
    <n v="4"/>
    <x v="4"/>
    <x v="1"/>
    <x v="0"/>
    <s v="Marketing Revenue - East"/>
    <n v="9056.94"/>
    <n v="9548.59"/>
  </r>
  <r>
    <x v="468"/>
    <n v="10"/>
    <n v="2025"/>
    <n v="4"/>
    <x v="5"/>
    <x v="1"/>
    <x v="0"/>
    <s v="HR Revenue - East"/>
    <n v="4476.22"/>
    <n v="4698.33"/>
  </r>
  <r>
    <x v="468"/>
    <n v="10"/>
    <n v="2025"/>
    <n v="4"/>
    <x v="1"/>
    <x v="0"/>
    <x v="0"/>
    <s v="R&amp;D Expense - East"/>
    <n v="-9748.75"/>
    <m/>
  </r>
  <r>
    <x v="468"/>
    <n v="10"/>
    <n v="2025"/>
    <n v="4"/>
    <x v="4"/>
    <x v="1"/>
    <x v="2"/>
    <s v="Marketing Revenue - North"/>
    <n v="9003.84"/>
    <n v="9829.67"/>
  </r>
  <r>
    <x v="468"/>
    <n v="10"/>
    <n v="2025"/>
    <n v="4"/>
    <x v="0"/>
    <x v="0"/>
    <x v="3"/>
    <s v="Services Expense - South"/>
    <n v="-10046.64"/>
    <m/>
  </r>
  <r>
    <x v="468"/>
    <n v="10"/>
    <n v="2025"/>
    <n v="4"/>
    <x v="4"/>
    <x v="1"/>
    <x v="3"/>
    <s v="Marketing Revenue - South"/>
    <n v="7737.09"/>
    <n v="7457.46"/>
  </r>
  <r>
    <x v="469"/>
    <n v="10"/>
    <n v="2025"/>
    <n v="4"/>
    <x v="7"/>
    <x v="0"/>
    <x v="2"/>
    <s v="Operations Expense - North"/>
    <n v="-9917.36"/>
    <m/>
  </r>
  <r>
    <x v="469"/>
    <n v="10"/>
    <n v="2025"/>
    <n v="4"/>
    <x v="2"/>
    <x v="1"/>
    <x v="2"/>
    <s v="G&amp;A Revenue - North"/>
    <n v="7300.23"/>
    <n v="6892.26"/>
  </r>
  <r>
    <x v="469"/>
    <n v="10"/>
    <n v="2025"/>
    <n v="4"/>
    <x v="3"/>
    <x v="0"/>
    <x v="3"/>
    <s v="Subscriptions Expense - South"/>
    <n v="-14778.58"/>
    <m/>
  </r>
  <r>
    <x v="470"/>
    <n v="10"/>
    <n v="2025"/>
    <n v="4"/>
    <x v="7"/>
    <x v="0"/>
    <x v="0"/>
    <s v="Operations Expense - East"/>
    <n v="-6558.96"/>
    <m/>
  </r>
  <r>
    <x v="471"/>
    <n v="10"/>
    <n v="2025"/>
    <n v="4"/>
    <x v="7"/>
    <x v="1"/>
    <x v="1"/>
    <s v="Operations Revenue - West"/>
    <n v="15844.62"/>
    <n v="15179.84"/>
  </r>
  <r>
    <x v="471"/>
    <n v="10"/>
    <n v="2025"/>
    <n v="4"/>
    <x v="5"/>
    <x v="1"/>
    <x v="1"/>
    <s v="HR Revenue - West"/>
    <n v="5722.15"/>
    <n v="5387.34"/>
  </r>
  <r>
    <x v="471"/>
    <n v="10"/>
    <n v="2025"/>
    <n v="4"/>
    <x v="1"/>
    <x v="0"/>
    <x v="2"/>
    <s v="R&amp;D Expense - North"/>
    <n v="-9172.24"/>
    <m/>
  </r>
  <r>
    <x v="471"/>
    <n v="10"/>
    <n v="2025"/>
    <n v="4"/>
    <x v="3"/>
    <x v="1"/>
    <x v="3"/>
    <s v="Subscriptions Revenue - South"/>
    <n v="30050.51"/>
    <n v="28204.560000000001"/>
  </r>
  <r>
    <x v="472"/>
    <n v="10"/>
    <n v="2025"/>
    <n v="4"/>
    <x v="2"/>
    <x v="1"/>
    <x v="0"/>
    <s v="G&amp;A Revenue - East"/>
    <n v="7141.53"/>
    <n v="7787.55"/>
  </r>
  <r>
    <x v="472"/>
    <n v="10"/>
    <n v="2025"/>
    <n v="4"/>
    <x v="3"/>
    <x v="1"/>
    <x v="1"/>
    <s v="Subscriptions Revenue - West"/>
    <n v="32653.56"/>
    <n v="31164.52"/>
  </r>
  <r>
    <x v="472"/>
    <n v="10"/>
    <n v="2025"/>
    <n v="4"/>
    <x v="4"/>
    <x v="1"/>
    <x v="1"/>
    <s v="Marketing Revenue - West"/>
    <n v="7983.94"/>
    <n v="7748.93"/>
  </r>
  <r>
    <x v="472"/>
    <n v="10"/>
    <n v="2025"/>
    <n v="4"/>
    <x v="2"/>
    <x v="0"/>
    <x v="1"/>
    <s v="G&amp;A Expense - West"/>
    <n v="-7601.25"/>
    <m/>
  </r>
  <r>
    <x v="472"/>
    <n v="10"/>
    <n v="2025"/>
    <n v="4"/>
    <x v="0"/>
    <x v="1"/>
    <x v="2"/>
    <s v="Services Revenue - North"/>
    <n v="21253.45"/>
    <n v="21385.32"/>
  </r>
  <r>
    <x v="473"/>
    <n v="10"/>
    <n v="2025"/>
    <n v="4"/>
    <x v="0"/>
    <x v="1"/>
    <x v="0"/>
    <s v="Services Revenue - East"/>
    <n v="28759.64"/>
    <n v="29445.48"/>
  </r>
  <r>
    <x v="473"/>
    <n v="10"/>
    <n v="2025"/>
    <n v="4"/>
    <x v="1"/>
    <x v="1"/>
    <x v="3"/>
    <s v="R&amp;D Revenue - South"/>
    <n v="14157.04"/>
    <n v="14835.8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44360-AAB4-4571-A4C1-11A6BEC6D45F}" name="pvtRevRegion" cacheId="3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20:B25" firstHeaderRow="1" firstDataRow="1" firstDataCol="1" rowPageCount="1" colPageCount="1"/>
  <pivotFields count="13">
    <pivotField compact="0" numFmtId="164" outline="0" showAll="0">
      <items count="4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t="default"/>
      </items>
    </pivotField>
    <pivotField compact="0" numFmtId="1" outline="0" showAll="0"/>
    <pivotField compact="0" numFmtId="1" outline="0" showAll="0"/>
    <pivotField compact="0" numFmtId="1" outline="0" showAll="0"/>
    <pivotField compact="0" outline="0" showAll="0"/>
    <pivotField axis="axisPage" compact="0" outline="0" showAll="0">
      <items count="3">
        <item x="0"/>
        <item x="1"/>
        <item t="default"/>
      </items>
    </pivotField>
    <pivotField axis="axisRow" compact="0" outline="0" showAll="0">
      <items count="5">
        <item x="0"/>
        <item x="2"/>
        <item x="3"/>
        <item x="1"/>
        <item t="default"/>
      </items>
    </pivotField>
    <pivotField compact="0" outline="0" showAll="0"/>
    <pivotField dataField="1" compact="0" numFmtId="165" outline="0" showAll="0"/>
    <pivotField compact="0" outline="0" showAll="0"/>
    <pivotField compact="0" outline="0" showAll="0"/>
    <pivotField compact="0" outline="0" showAll="0"/>
    <pivotField compact="0" outline="0" showAll="0">
      <items count="6">
        <item x="0"/>
        <item x="1"/>
        <item x="2"/>
        <item x="3"/>
        <item x="4"/>
        <item t="default"/>
      </items>
    </pivotField>
  </pivotFields>
  <rowFields count="1">
    <field x="6"/>
  </rowFields>
  <rowItems count="5">
    <i>
      <x/>
    </i>
    <i>
      <x v="1"/>
    </i>
    <i>
      <x v="2"/>
    </i>
    <i>
      <x v="3"/>
    </i>
    <i t="grand">
      <x/>
    </i>
  </rowItems>
  <colItems count="1">
    <i/>
  </colItems>
  <pageFields count="1">
    <pageField fld="5" item="1" hier="-1"/>
  </pageFields>
  <dataFields count="1">
    <dataField name="Revenue" fld="8" baseField="0"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761743-48B9-41A0-A478-515408971366}" name="pvtProfit" cacheId="3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J3:N7" firstHeaderRow="1" firstDataRow="1" firstDataCol="4"/>
  <pivotFields count="13">
    <pivotField axis="axisRow" compact="0" numFmtId="164" outline="0" showAll="0">
      <items count="4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t="default"/>
      </items>
    </pivotField>
    <pivotField compact="0" numFmtId="1" outline="0" showAll="0"/>
    <pivotField compact="0" numFmtId="1" outline="0" showAll="0"/>
    <pivotField compact="0" numFmtId="1" outline="0" showAll="0"/>
    <pivotField compact="0" outline="0" showAll="0"/>
    <pivotField compact="0" outline="0" showAll="0"/>
    <pivotField compact="0" outline="0" showAll="0"/>
    <pivotField compact="0" outline="0" showAll="0"/>
    <pivotField dataField="1" compact="0" numFmtId="165" outline="0" showAll="0"/>
    <pivotField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axis="axisRow" compact="0" outline="0" showAll="0">
      <items count="7">
        <item sd="0" x="0"/>
        <item sd="0" x="1"/>
        <item sd="0" x="2"/>
        <item sd="0" x="3"/>
        <item sd="0" x="4"/>
        <item sd="0" x="5"/>
        <item t="default"/>
      </items>
    </pivotField>
    <pivotField axis="axisRow" compact="0" outline="0" showAll="0">
      <items count="6">
        <item sd="0" x="0"/>
        <item sd="0" x="1"/>
        <item sd="0" x="2"/>
        <item sd="0" x="3"/>
        <item sd="0" x="4"/>
        <item t="default"/>
      </items>
    </pivotField>
  </pivotFields>
  <rowFields count="4">
    <field x="12"/>
    <field x="11"/>
    <field x="10"/>
    <field x="0"/>
  </rowFields>
  <rowItems count="4">
    <i>
      <x v="1"/>
    </i>
    <i>
      <x v="2"/>
    </i>
    <i>
      <x v="3"/>
    </i>
    <i t="grand">
      <x/>
    </i>
  </rowItems>
  <colItems count="1">
    <i/>
  </colItems>
  <dataFields count="1">
    <dataField name="Profit" fld="8" baseField="0"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305AB2-5A87-4CC5-9625-5A2B7886F6AF}" name="pvtRevTarget" cacheId="3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A3:E7" firstHeaderRow="1" firstDataRow="1" firstDataCol="4" rowPageCount="1" colPageCount="1"/>
  <pivotFields count="13">
    <pivotField axis="axisRow" compact="0" numFmtId="164" outline="0" showAll="0">
      <items count="4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t="default"/>
      </items>
    </pivotField>
    <pivotField compact="0" numFmtId="1" outline="0" showAll="0"/>
    <pivotField compact="0" numFmtId="1" outline="0" showAll="0"/>
    <pivotField compact="0" numFmtId="1" outline="0" showAll="0"/>
    <pivotField compact="0" outline="0" showAll="0"/>
    <pivotField axis="axisPage" compact="0" outline="0" showAll="0">
      <items count="3">
        <item x="0"/>
        <item x="1"/>
        <item t="default"/>
      </items>
    </pivotField>
    <pivotField compact="0" outline="0" showAll="0"/>
    <pivotField compact="0" outline="0" showAll="0"/>
    <pivotField dataField="1" compact="0" numFmtId="165" outline="0" showAll="0"/>
    <pivotField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axis="axisRow" compact="0" outline="0" showAll="0">
      <items count="7">
        <item sd="0" x="0"/>
        <item sd="0" x="1"/>
        <item sd="0" x="2"/>
        <item sd="0" x="3"/>
        <item sd="0" x="4"/>
        <item sd="0" x="5"/>
        <item t="default"/>
      </items>
    </pivotField>
    <pivotField axis="axisRow" compact="0" outline="0" showAll="0">
      <items count="6">
        <item sd="0" x="0"/>
        <item sd="0" x="1"/>
        <item sd="0" x="2"/>
        <item sd="0" x="3"/>
        <item sd="0" x="4"/>
        <item t="default"/>
      </items>
    </pivotField>
  </pivotFields>
  <rowFields count="4">
    <field x="12"/>
    <field x="11"/>
    <field x="10"/>
    <field x="0"/>
  </rowFields>
  <rowItems count="4">
    <i>
      <x v="1"/>
    </i>
    <i>
      <x v="2"/>
    </i>
    <i>
      <x v="3"/>
    </i>
    <i t="grand">
      <x/>
    </i>
  </rowItems>
  <colItems count="1">
    <i/>
  </colItems>
  <pageFields count="1">
    <pageField fld="5" item="1" hier="-1"/>
  </pageFields>
  <dataFields count="1">
    <dataField name="Revenue" fld="8" baseField="0"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5BD4035-3C91-4542-98F8-570A5FD044D2}" sourceName="Region">
  <data>
    <tabular pivotCacheId="875851916">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 xr10:uid="{05C8F629-B6A9-4FE7-AA64-E877CF0EB0D5}" sourceName="Account">
  <data>
    <tabular pivotCacheId="875851916">
      <items count="8">
        <i x="2" s="1"/>
        <i x="5" s="1"/>
        <i x="4" s="1"/>
        <i x="7" s="1"/>
        <i x="1" s="1"/>
        <i x="6"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cRegion" xr10:uid="{77F1B0A1-21E4-49EF-A9D8-EE40572B847A}" cache="Slicer_Region" caption="Region" style="SlicerStyleLight2" rowHeight="247650"/>
  <slicer name="slcAccount" xr10:uid="{A950AFCD-15F3-438B-AB83-86BC461D7AA8}" cache="Slicer_Account" caption="Account"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B7BC91-A156-4B72-9323-675EDC5DB726}" name="tblFinance" displayName="tblFinance" ref="A1:J1153" totalsRowShown="0" headerRowDxfId="6">
  <sortState xmlns:xlrd2="http://schemas.microsoft.com/office/spreadsheetml/2017/richdata2" ref="A2:J1153">
    <sortCondition ref="A1:A1153"/>
  </sortState>
  <tableColumns count="10">
    <tableColumn id="1" xr3:uid="{EE856177-04B9-4E04-9E27-7FCBA562F414}" name="Date" dataDxfId="5"/>
    <tableColumn id="2" xr3:uid="{DED7A7F8-6824-4B87-AA77-8E33B005D072}" name="Month" dataDxfId="4"/>
    <tableColumn id="3" xr3:uid="{BA0765F9-DDFC-4A7C-96FA-D4206815AF11}" name="Year" dataDxfId="3"/>
    <tableColumn id="4" xr3:uid="{9A6C0679-62D0-4C2B-8A5F-2AA5A0DC0F08}" name="Quarter" dataDxfId="2"/>
    <tableColumn id="5" xr3:uid="{4F027248-FF8D-40FB-AC99-A2B4644A8A00}" name="Account"/>
    <tableColumn id="6" xr3:uid="{6F57A679-9A7D-40ED-A680-AC0611391317}" name="Type"/>
    <tableColumn id="7" xr3:uid="{5E3F562E-CE9F-4E11-B2FD-431FC5EF99A2}" name="Region"/>
    <tableColumn id="8" xr3:uid="{D7F73F8A-9759-4CAE-8910-A789D1BF309C}" name="Description"/>
    <tableColumn id="9" xr3:uid="{5B990135-6DE8-48AA-B4BD-4BFBED026AB9}" name="Amount" dataDxfId="1"/>
    <tableColumn id="10" xr3:uid="{31CCAE28-FACD-4E4B-9529-D1BD42519826}" name="Targe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B025A-15DF-491F-AEBB-83C93764999F}">
  <sheetPr codeName="Sheet1"/>
  <dimension ref="A1"/>
  <sheetViews>
    <sheetView workbookViewId="0">
      <selection activeCell="K7" sqref="K7"/>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307A-DE20-4A45-BCC7-C1F74911855A}">
  <sheetPr codeName="Sheet2"/>
  <dimension ref="A1:J1153"/>
  <sheetViews>
    <sheetView workbookViewId="0">
      <pane ySplit="1" topLeftCell="A2" activePane="bottomLeft" state="frozenSplit"/>
      <selection pane="bottomLeft" activeCell="A2" sqref="A2:J1153"/>
    </sheetView>
  </sheetViews>
  <sheetFormatPr defaultRowHeight="14.4" x14ac:dyDescent="0.3"/>
  <cols>
    <col min="1" max="1" width="10.33203125" style="3" bestFit="1" customWidth="1"/>
    <col min="2" max="2" width="8.33203125" style="5" bestFit="1" customWidth="1"/>
    <col min="3" max="3" width="6.88671875" style="5" bestFit="1" customWidth="1"/>
    <col min="4" max="4" width="9.5546875" style="5" bestFit="1" customWidth="1"/>
    <col min="5" max="5" width="11.88671875" bestFit="1" customWidth="1"/>
    <col min="6" max="6" width="7.88671875" bestFit="1" customWidth="1"/>
    <col min="7" max="7" width="8.77734375" bestFit="1" customWidth="1"/>
    <col min="8" max="8" width="25.44140625" bestFit="1" customWidth="1"/>
    <col min="9" max="9" width="11" style="7" bestFit="1" customWidth="1"/>
    <col min="10" max="10" width="9.6640625" style="7" bestFit="1" customWidth="1"/>
  </cols>
  <sheetData>
    <row r="1" spans="1:10" s="1" customFormat="1" x14ac:dyDescent="0.3">
      <c r="A1" s="2" t="s">
        <v>0</v>
      </c>
      <c r="B1" s="4" t="s">
        <v>1</v>
      </c>
      <c r="C1" s="4" t="s">
        <v>2</v>
      </c>
      <c r="D1" s="4" t="s">
        <v>3</v>
      </c>
      <c r="E1" s="1" t="s">
        <v>4</v>
      </c>
      <c r="F1" s="1" t="s">
        <v>5</v>
      </c>
      <c r="G1" s="1" t="s">
        <v>6</v>
      </c>
      <c r="H1" s="1" t="s">
        <v>7</v>
      </c>
      <c r="I1" s="6" t="s">
        <v>8</v>
      </c>
      <c r="J1" s="6" t="s">
        <v>9</v>
      </c>
    </row>
    <row r="2" spans="1:10" x14ac:dyDescent="0.3">
      <c r="A2" s="3">
        <v>45505</v>
      </c>
      <c r="B2" s="5">
        <v>8</v>
      </c>
      <c r="C2" s="5">
        <v>2024</v>
      </c>
      <c r="D2" s="5">
        <v>3</v>
      </c>
      <c r="E2" t="s">
        <v>19</v>
      </c>
      <c r="F2" t="s">
        <v>17</v>
      </c>
      <c r="G2" t="s">
        <v>15</v>
      </c>
      <c r="H2" t="s">
        <v>21</v>
      </c>
      <c r="I2" s="7">
        <v>-11865.46</v>
      </c>
    </row>
    <row r="3" spans="1:10" x14ac:dyDescent="0.3">
      <c r="A3" s="3">
        <v>45505</v>
      </c>
      <c r="B3" s="5">
        <v>8</v>
      </c>
      <c r="C3" s="5">
        <v>2024</v>
      </c>
      <c r="D3" s="5">
        <v>3</v>
      </c>
      <c r="E3" t="s">
        <v>34</v>
      </c>
      <c r="F3" t="s">
        <v>17</v>
      </c>
      <c r="G3" t="s">
        <v>15</v>
      </c>
      <c r="H3" t="s">
        <v>36</v>
      </c>
      <c r="I3" s="7">
        <v>-13226.78</v>
      </c>
    </row>
    <row r="4" spans="1:10" x14ac:dyDescent="0.3">
      <c r="A4" s="3">
        <v>45505</v>
      </c>
      <c r="B4" s="5">
        <v>8</v>
      </c>
      <c r="C4" s="5">
        <v>2024</v>
      </c>
      <c r="D4" s="5">
        <v>3</v>
      </c>
      <c r="E4" t="s">
        <v>37</v>
      </c>
      <c r="F4" t="s">
        <v>17</v>
      </c>
      <c r="G4" t="s">
        <v>40</v>
      </c>
      <c r="H4" t="s">
        <v>56</v>
      </c>
      <c r="I4" s="7">
        <v>-3873.44</v>
      </c>
    </row>
    <row r="5" spans="1:10" x14ac:dyDescent="0.3">
      <c r="A5" s="3">
        <v>45505</v>
      </c>
      <c r="B5" s="5">
        <v>8</v>
      </c>
      <c r="C5" s="5">
        <v>2024</v>
      </c>
      <c r="D5" s="5">
        <v>3</v>
      </c>
      <c r="E5" t="s">
        <v>19</v>
      </c>
      <c r="F5" t="s">
        <v>17</v>
      </c>
      <c r="G5" t="s">
        <v>57</v>
      </c>
      <c r="H5" t="s">
        <v>61</v>
      </c>
      <c r="I5" s="7">
        <v>-6214.49</v>
      </c>
    </row>
    <row r="6" spans="1:10" x14ac:dyDescent="0.3">
      <c r="A6" s="3">
        <v>45505</v>
      </c>
      <c r="B6" s="5">
        <v>8</v>
      </c>
      <c r="C6" s="5">
        <v>2024</v>
      </c>
      <c r="D6" s="5">
        <v>3</v>
      </c>
      <c r="E6" t="s">
        <v>22</v>
      </c>
      <c r="F6" t="s">
        <v>10</v>
      </c>
      <c r="G6" t="s">
        <v>57</v>
      </c>
      <c r="H6" t="s">
        <v>62</v>
      </c>
      <c r="I6" s="7">
        <v>25773.23</v>
      </c>
      <c r="J6" s="7">
        <v>25914.41</v>
      </c>
    </row>
    <row r="7" spans="1:10" x14ac:dyDescent="0.3">
      <c r="A7" s="3">
        <v>45506</v>
      </c>
      <c r="B7" s="5">
        <v>8</v>
      </c>
      <c r="C7" s="5">
        <v>2024</v>
      </c>
      <c r="D7" s="5">
        <v>3</v>
      </c>
      <c r="E7" t="s">
        <v>25</v>
      </c>
      <c r="F7" t="s">
        <v>17</v>
      </c>
      <c r="G7" t="s">
        <v>15</v>
      </c>
      <c r="H7" t="s">
        <v>27</v>
      </c>
      <c r="I7" s="7">
        <v>-7089.09</v>
      </c>
    </row>
    <row r="8" spans="1:10" x14ac:dyDescent="0.3">
      <c r="A8" s="3">
        <v>45507</v>
      </c>
      <c r="B8" s="5">
        <v>8</v>
      </c>
      <c r="C8" s="5">
        <v>2024</v>
      </c>
      <c r="D8" s="5">
        <v>3</v>
      </c>
      <c r="E8" t="s">
        <v>31</v>
      </c>
      <c r="F8" t="s">
        <v>17</v>
      </c>
      <c r="G8" t="s">
        <v>40</v>
      </c>
      <c r="H8" t="s">
        <v>52</v>
      </c>
      <c r="I8" s="7">
        <v>-6646.1</v>
      </c>
    </row>
    <row r="9" spans="1:10" x14ac:dyDescent="0.3">
      <c r="A9" s="3">
        <v>45508</v>
      </c>
      <c r="B9" s="5">
        <v>8</v>
      </c>
      <c r="C9" s="5">
        <v>2024</v>
      </c>
      <c r="D9" s="5">
        <v>3</v>
      </c>
      <c r="E9" t="s">
        <v>14</v>
      </c>
      <c r="F9" t="s">
        <v>10</v>
      </c>
      <c r="G9" t="s">
        <v>15</v>
      </c>
      <c r="H9" t="s">
        <v>16</v>
      </c>
      <c r="I9" s="7">
        <v>34145.760000000002</v>
      </c>
      <c r="J9" s="7">
        <v>32613.16</v>
      </c>
    </row>
    <row r="10" spans="1:10" x14ac:dyDescent="0.3">
      <c r="A10" s="3">
        <v>45508</v>
      </c>
      <c r="B10" s="5">
        <v>8</v>
      </c>
      <c r="C10" s="5">
        <v>2024</v>
      </c>
      <c r="D10" s="5">
        <v>3</v>
      </c>
      <c r="E10" t="s">
        <v>25</v>
      </c>
      <c r="F10" t="s">
        <v>10</v>
      </c>
      <c r="G10" t="s">
        <v>15</v>
      </c>
      <c r="H10" t="s">
        <v>26</v>
      </c>
      <c r="I10" s="7">
        <v>9637.69</v>
      </c>
      <c r="J10" s="7">
        <v>9656.65</v>
      </c>
    </row>
    <row r="11" spans="1:10" x14ac:dyDescent="0.3">
      <c r="A11" s="3">
        <v>45509</v>
      </c>
      <c r="B11" s="5">
        <v>8</v>
      </c>
      <c r="C11" s="5">
        <v>2024</v>
      </c>
      <c r="D11" s="5">
        <v>3</v>
      </c>
      <c r="E11" t="s">
        <v>22</v>
      </c>
      <c r="F11" t="s">
        <v>17</v>
      </c>
      <c r="G11" t="s">
        <v>15</v>
      </c>
      <c r="H11" t="s">
        <v>24</v>
      </c>
      <c r="I11" s="7">
        <v>-8039.03</v>
      </c>
    </row>
    <row r="12" spans="1:10" x14ac:dyDescent="0.3">
      <c r="A12" s="3">
        <v>45509</v>
      </c>
      <c r="B12" s="5">
        <v>8</v>
      </c>
      <c r="C12" s="5">
        <v>2024</v>
      </c>
      <c r="D12" s="5">
        <v>3</v>
      </c>
      <c r="E12" t="s">
        <v>37</v>
      </c>
      <c r="F12" t="s">
        <v>17</v>
      </c>
      <c r="G12" t="s">
        <v>15</v>
      </c>
      <c r="H12" t="s">
        <v>39</v>
      </c>
      <c r="I12" s="7">
        <v>-9547.89</v>
      </c>
    </row>
    <row r="13" spans="1:10" x14ac:dyDescent="0.3">
      <c r="A13" s="3">
        <v>45509</v>
      </c>
      <c r="B13" s="5">
        <v>8</v>
      </c>
      <c r="C13" s="5">
        <v>2024</v>
      </c>
      <c r="D13" s="5">
        <v>3</v>
      </c>
      <c r="E13" t="s">
        <v>34</v>
      </c>
      <c r="F13" t="s">
        <v>17</v>
      </c>
      <c r="G13" t="s">
        <v>40</v>
      </c>
      <c r="H13" t="s">
        <v>54</v>
      </c>
      <c r="I13" s="7">
        <v>-8538.07</v>
      </c>
    </row>
    <row r="14" spans="1:10" x14ac:dyDescent="0.3">
      <c r="A14" s="3">
        <v>45509</v>
      </c>
      <c r="B14" s="5">
        <v>8</v>
      </c>
      <c r="C14" s="5">
        <v>2024</v>
      </c>
      <c r="D14" s="5">
        <v>3</v>
      </c>
      <c r="E14" t="s">
        <v>28</v>
      </c>
      <c r="F14" t="s">
        <v>10</v>
      </c>
      <c r="G14" t="s">
        <v>57</v>
      </c>
      <c r="H14" t="s">
        <v>66</v>
      </c>
      <c r="I14" s="7">
        <v>14345.85</v>
      </c>
      <c r="J14" s="7">
        <v>14235.74</v>
      </c>
    </row>
    <row r="15" spans="1:10" x14ac:dyDescent="0.3">
      <c r="A15" s="3">
        <v>45510</v>
      </c>
      <c r="B15" s="5">
        <v>8</v>
      </c>
      <c r="C15" s="5">
        <v>2024</v>
      </c>
      <c r="D15" s="5">
        <v>3</v>
      </c>
      <c r="E15" t="s">
        <v>14</v>
      </c>
      <c r="F15" t="s">
        <v>17</v>
      </c>
      <c r="G15" t="s">
        <v>15</v>
      </c>
      <c r="H15" t="s">
        <v>18</v>
      </c>
      <c r="I15" s="7">
        <v>-16350.55</v>
      </c>
    </row>
    <row r="16" spans="1:10" x14ac:dyDescent="0.3">
      <c r="A16" s="3">
        <v>45510</v>
      </c>
      <c r="B16" s="5">
        <v>8</v>
      </c>
      <c r="C16" s="5">
        <v>2024</v>
      </c>
      <c r="D16" s="5">
        <v>3</v>
      </c>
      <c r="E16" t="s">
        <v>22</v>
      </c>
      <c r="F16" t="s">
        <v>10</v>
      </c>
      <c r="G16" t="s">
        <v>40</v>
      </c>
      <c r="H16" t="s">
        <v>45</v>
      </c>
      <c r="I16" s="7">
        <v>27133.59</v>
      </c>
      <c r="J16" s="7">
        <v>27223.99</v>
      </c>
    </row>
    <row r="17" spans="1:10" x14ac:dyDescent="0.3">
      <c r="A17" s="3">
        <v>45510</v>
      </c>
      <c r="B17" s="5">
        <v>8</v>
      </c>
      <c r="C17" s="5">
        <v>2024</v>
      </c>
      <c r="D17" s="5">
        <v>3</v>
      </c>
      <c r="E17" t="s">
        <v>22</v>
      </c>
      <c r="F17" t="s">
        <v>17</v>
      </c>
      <c r="G17" t="s">
        <v>57</v>
      </c>
      <c r="H17" t="s">
        <v>63</v>
      </c>
      <c r="I17" s="7">
        <v>-30130.74</v>
      </c>
    </row>
    <row r="18" spans="1:10" x14ac:dyDescent="0.3">
      <c r="A18" s="3">
        <v>45510</v>
      </c>
      <c r="B18" s="5">
        <v>8</v>
      </c>
      <c r="C18" s="5">
        <v>2024</v>
      </c>
      <c r="D18" s="5">
        <v>3</v>
      </c>
      <c r="E18" t="s">
        <v>37</v>
      </c>
      <c r="F18" t="s">
        <v>17</v>
      </c>
      <c r="G18" t="s">
        <v>57</v>
      </c>
      <c r="H18" t="s">
        <v>73</v>
      </c>
      <c r="I18" s="7">
        <v>-2811.66</v>
      </c>
    </row>
    <row r="19" spans="1:10" x14ac:dyDescent="0.3">
      <c r="A19" s="3">
        <v>45510</v>
      </c>
      <c r="B19" s="5">
        <v>8</v>
      </c>
      <c r="C19" s="5">
        <v>2024</v>
      </c>
      <c r="D19" s="5">
        <v>3</v>
      </c>
      <c r="E19" t="s">
        <v>19</v>
      </c>
      <c r="F19" t="s">
        <v>17</v>
      </c>
      <c r="G19" t="s">
        <v>74</v>
      </c>
      <c r="H19" t="s">
        <v>78</v>
      </c>
      <c r="I19" s="7">
        <v>-12078.88</v>
      </c>
    </row>
    <row r="20" spans="1:10" x14ac:dyDescent="0.3">
      <c r="A20" s="3">
        <v>45511</v>
      </c>
      <c r="B20" s="5">
        <v>8</v>
      </c>
      <c r="C20" s="5">
        <v>2024</v>
      </c>
      <c r="D20" s="5">
        <v>3</v>
      </c>
      <c r="E20" t="s">
        <v>28</v>
      </c>
      <c r="F20" t="s">
        <v>17</v>
      </c>
      <c r="G20" t="s">
        <v>40</v>
      </c>
      <c r="H20" t="s">
        <v>50</v>
      </c>
      <c r="I20" s="7">
        <v>-7101.88</v>
      </c>
    </row>
    <row r="21" spans="1:10" x14ac:dyDescent="0.3">
      <c r="A21" s="3">
        <v>45512</v>
      </c>
      <c r="B21" s="5">
        <v>8</v>
      </c>
      <c r="C21" s="5">
        <v>2024</v>
      </c>
      <c r="D21" s="5">
        <v>3</v>
      </c>
      <c r="E21" t="s">
        <v>14</v>
      </c>
      <c r="F21" t="s">
        <v>17</v>
      </c>
      <c r="G21" t="s">
        <v>40</v>
      </c>
      <c r="H21" t="s">
        <v>42</v>
      </c>
      <c r="I21" s="7">
        <v>-20700.14</v>
      </c>
    </row>
    <row r="22" spans="1:10" x14ac:dyDescent="0.3">
      <c r="A22" s="3">
        <v>45512</v>
      </c>
      <c r="B22" s="5">
        <v>8</v>
      </c>
      <c r="C22" s="5">
        <v>2024</v>
      </c>
      <c r="D22" s="5">
        <v>3</v>
      </c>
      <c r="E22" t="s">
        <v>31</v>
      </c>
      <c r="F22" t="s">
        <v>10</v>
      </c>
      <c r="G22" t="s">
        <v>74</v>
      </c>
      <c r="H22" t="s">
        <v>85</v>
      </c>
      <c r="I22" s="7">
        <v>3852.71</v>
      </c>
      <c r="J22" s="7">
        <v>4128.54</v>
      </c>
    </row>
    <row r="23" spans="1:10" x14ac:dyDescent="0.3">
      <c r="A23" s="3">
        <v>45514</v>
      </c>
      <c r="B23" s="5">
        <v>8</v>
      </c>
      <c r="C23" s="5">
        <v>2024</v>
      </c>
      <c r="D23" s="5">
        <v>3</v>
      </c>
      <c r="E23" t="s">
        <v>19</v>
      </c>
      <c r="F23" t="s">
        <v>17</v>
      </c>
      <c r="G23" t="s">
        <v>40</v>
      </c>
      <c r="H23" t="s">
        <v>44</v>
      </c>
      <c r="I23" s="7">
        <v>-27342.29</v>
      </c>
    </row>
    <row r="24" spans="1:10" x14ac:dyDescent="0.3">
      <c r="A24" s="3">
        <v>45515</v>
      </c>
      <c r="B24" s="5">
        <v>8</v>
      </c>
      <c r="C24" s="5">
        <v>2024</v>
      </c>
      <c r="D24" s="5">
        <v>3</v>
      </c>
      <c r="E24" t="s">
        <v>31</v>
      </c>
      <c r="F24" t="s">
        <v>17</v>
      </c>
      <c r="G24" t="s">
        <v>74</v>
      </c>
      <c r="H24" t="s">
        <v>86</v>
      </c>
      <c r="I24" s="7">
        <v>-2743.58</v>
      </c>
    </row>
    <row r="25" spans="1:10" x14ac:dyDescent="0.3">
      <c r="A25" s="3">
        <v>45515</v>
      </c>
      <c r="B25" s="5">
        <v>8</v>
      </c>
      <c r="C25" s="5">
        <v>2024</v>
      </c>
      <c r="D25" s="5">
        <v>3</v>
      </c>
      <c r="E25" t="s">
        <v>34</v>
      </c>
      <c r="F25" t="s">
        <v>17</v>
      </c>
      <c r="G25" t="s">
        <v>74</v>
      </c>
      <c r="H25" t="s">
        <v>88</v>
      </c>
      <c r="I25" s="7">
        <v>-4777.0600000000004</v>
      </c>
    </row>
    <row r="26" spans="1:10" x14ac:dyDescent="0.3">
      <c r="A26" s="3">
        <v>45515</v>
      </c>
      <c r="B26" s="5">
        <v>8</v>
      </c>
      <c r="C26" s="5">
        <v>2024</v>
      </c>
      <c r="D26" s="5">
        <v>3</v>
      </c>
      <c r="E26" t="s">
        <v>37</v>
      </c>
      <c r="F26" t="s">
        <v>17</v>
      </c>
      <c r="G26" t="s">
        <v>74</v>
      </c>
      <c r="H26" t="s">
        <v>90</v>
      </c>
      <c r="I26" s="7">
        <v>-7454.15</v>
      </c>
    </row>
    <row r="27" spans="1:10" x14ac:dyDescent="0.3">
      <c r="A27" s="3">
        <v>45518</v>
      </c>
      <c r="B27" s="5">
        <v>8</v>
      </c>
      <c r="C27" s="5">
        <v>2024</v>
      </c>
      <c r="D27" s="5">
        <v>3</v>
      </c>
      <c r="E27" t="s">
        <v>28</v>
      </c>
      <c r="F27" t="s">
        <v>17</v>
      </c>
      <c r="G27" t="s">
        <v>15</v>
      </c>
      <c r="H27" t="s">
        <v>30</v>
      </c>
      <c r="I27" s="7">
        <v>-23917.82</v>
      </c>
    </row>
    <row r="28" spans="1:10" x14ac:dyDescent="0.3">
      <c r="A28" s="3">
        <v>45518</v>
      </c>
      <c r="B28" s="5">
        <v>8</v>
      </c>
      <c r="C28" s="5">
        <v>2024</v>
      </c>
      <c r="D28" s="5">
        <v>3</v>
      </c>
      <c r="E28" t="s">
        <v>37</v>
      </c>
      <c r="F28" t="s">
        <v>10</v>
      </c>
      <c r="G28" t="s">
        <v>15</v>
      </c>
      <c r="H28" t="s">
        <v>38</v>
      </c>
      <c r="I28" s="7">
        <v>6261.18</v>
      </c>
      <c r="J28" s="7">
        <v>6354.18</v>
      </c>
    </row>
    <row r="29" spans="1:10" x14ac:dyDescent="0.3">
      <c r="A29" s="3">
        <v>45520</v>
      </c>
      <c r="B29" s="5">
        <v>8</v>
      </c>
      <c r="C29" s="5">
        <v>2024</v>
      </c>
      <c r="D29" s="5">
        <v>3</v>
      </c>
      <c r="E29" t="s">
        <v>25</v>
      </c>
      <c r="F29" t="s">
        <v>17</v>
      </c>
      <c r="G29" t="s">
        <v>40</v>
      </c>
      <c r="H29" t="s">
        <v>48</v>
      </c>
      <c r="I29" s="7">
        <v>-7763.49</v>
      </c>
    </row>
    <row r="30" spans="1:10" x14ac:dyDescent="0.3">
      <c r="A30" s="3">
        <v>45520</v>
      </c>
      <c r="B30" s="5">
        <v>8</v>
      </c>
      <c r="C30" s="5">
        <v>2024</v>
      </c>
      <c r="D30" s="5">
        <v>3</v>
      </c>
      <c r="E30" t="s">
        <v>19</v>
      </c>
      <c r="F30" t="s">
        <v>10</v>
      </c>
      <c r="G30" t="s">
        <v>57</v>
      </c>
      <c r="H30" t="s">
        <v>60</v>
      </c>
      <c r="I30" s="7">
        <v>18368.05</v>
      </c>
      <c r="J30" s="7">
        <v>19699.509999999998</v>
      </c>
    </row>
    <row r="31" spans="1:10" x14ac:dyDescent="0.3">
      <c r="A31" s="3">
        <v>45520</v>
      </c>
      <c r="B31" s="5">
        <v>8</v>
      </c>
      <c r="C31" s="5">
        <v>2024</v>
      </c>
      <c r="D31" s="5">
        <v>3</v>
      </c>
      <c r="E31" t="s">
        <v>31</v>
      </c>
      <c r="F31" t="s">
        <v>10</v>
      </c>
      <c r="G31" t="s">
        <v>57</v>
      </c>
      <c r="H31" t="s">
        <v>68</v>
      </c>
      <c r="I31" s="7">
        <v>3491.41</v>
      </c>
      <c r="J31" s="7">
        <v>3430.2</v>
      </c>
    </row>
    <row r="32" spans="1:10" x14ac:dyDescent="0.3">
      <c r="A32" s="3">
        <v>45520</v>
      </c>
      <c r="B32" s="5">
        <v>8</v>
      </c>
      <c r="C32" s="5">
        <v>2024</v>
      </c>
      <c r="D32" s="5">
        <v>3</v>
      </c>
      <c r="E32" t="s">
        <v>34</v>
      </c>
      <c r="F32" t="s">
        <v>17</v>
      </c>
      <c r="G32" t="s">
        <v>57</v>
      </c>
      <c r="H32" t="s">
        <v>71</v>
      </c>
      <c r="I32" s="7">
        <v>-16706.82</v>
      </c>
    </row>
    <row r="33" spans="1:10" x14ac:dyDescent="0.3">
      <c r="A33" s="3">
        <v>45520</v>
      </c>
      <c r="B33" s="5">
        <v>8</v>
      </c>
      <c r="C33" s="5">
        <v>2024</v>
      </c>
      <c r="D33" s="5">
        <v>3</v>
      </c>
      <c r="E33" t="s">
        <v>28</v>
      </c>
      <c r="F33" t="s">
        <v>10</v>
      </c>
      <c r="G33" t="s">
        <v>74</v>
      </c>
      <c r="H33" t="s">
        <v>83</v>
      </c>
      <c r="I33" s="7">
        <v>10982.68</v>
      </c>
      <c r="J33" s="7">
        <v>10853.23</v>
      </c>
    </row>
    <row r="34" spans="1:10" x14ac:dyDescent="0.3">
      <c r="A34" s="3">
        <v>45521</v>
      </c>
      <c r="B34" s="5">
        <v>8</v>
      </c>
      <c r="C34" s="5">
        <v>2024</v>
      </c>
      <c r="D34" s="5">
        <v>3</v>
      </c>
      <c r="E34" t="s">
        <v>31</v>
      </c>
      <c r="F34" t="s">
        <v>10</v>
      </c>
      <c r="G34" t="s">
        <v>15</v>
      </c>
      <c r="H34" t="s">
        <v>32</v>
      </c>
      <c r="I34" s="7">
        <v>4296.88</v>
      </c>
      <c r="J34" s="7">
        <v>4113.18</v>
      </c>
    </row>
    <row r="35" spans="1:10" x14ac:dyDescent="0.3">
      <c r="A35" s="3">
        <v>45521</v>
      </c>
      <c r="B35" s="5">
        <v>8</v>
      </c>
      <c r="C35" s="5">
        <v>2024</v>
      </c>
      <c r="D35" s="5">
        <v>3</v>
      </c>
      <c r="E35" t="s">
        <v>31</v>
      </c>
      <c r="F35" t="s">
        <v>17</v>
      </c>
      <c r="G35" t="s">
        <v>15</v>
      </c>
      <c r="H35" t="s">
        <v>33</v>
      </c>
      <c r="I35" s="7">
        <v>-2573.14</v>
      </c>
    </row>
    <row r="36" spans="1:10" x14ac:dyDescent="0.3">
      <c r="A36" s="3">
        <v>45521</v>
      </c>
      <c r="B36" s="5">
        <v>8</v>
      </c>
      <c r="C36" s="5">
        <v>2024</v>
      </c>
      <c r="D36" s="5">
        <v>3</v>
      </c>
      <c r="E36" t="s">
        <v>31</v>
      </c>
      <c r="F36" t="s">
        <v>10</v>
      </c>
      <c r="G36" t="s">
        <v>40</v>
      </c>
      <c r="H36" t="s">
        <v>51</v>
      </c>
      <c r="I36" s="7">
        <v>4473.8500000000004</v>
      </c>
      <c r="J36" s="7">
        <v>4345.3</v>
      </c>
    </row>
    <row r="37" spans="1:10" x14ac:dyDescent="0.3">
      <c r="A37" s="3">
        <v>45521</v>
      </c>
      <c r="B37" s="5">
        <v>8</v>
      </c>
      <c r="C37" s="5">
        <v>2024</v>
      </c>
      <c r="D37" s="5">
        <v>3</v>
      </c>
      <c r="E37" t="s">
        <v>25</v>
      </c>
      <c r="F37" t="s">
        <v>10</v>
      </c>
      <c r="G37" t="s">
        <v>74</v>
      </c>
      <c r="H37" t="s">
        <v>81</v>
      </c>
      <c r="I37" s="7">
        <v>5791.42</v>
      </c>
      <c r="J37" s="7">
        <v>6320.5</v>
      </c>
    </row>
    <row r="38" spans="1:10" x14ac:dyDescent="0.3">
      <c r="A38" s="3">
        <v>45522</v>
      </c>
      <c r="B38" s="5">
        <v>8</v>
      </c>
      <c r="C38" s="5">
        <v>2024</v>
      </c>
      <c r="D38" s="5">
        <v>3</v>
      </c>
      <c r="E38" t="s">
        <v>22</v>
      </c>
      <c r="F38" t="s">
        <v>17</v>
      </c>
      <c r="G38" t="s">
        <v>40</v>
      </c>
      <c r="H38" t="s">
        <v>46</v>
      </c>
      <c r="I38" s="7">
        <v>-14493.21</v>
      </c>
    </row>
    <row r="39" spans="1:10" x14ac:dyDescent="0.3">
      <c r="A39" s="3">
        <v>45522</v>
      </c>
      <c r="B39" s="5">
        <v>8</v>
      </c>
      <c r="C39" s="5">
        <v>2024</v>
      </c>
      <c r="D39" s="5">
        <v>3</v>
      </c>
      <c r="E39" t="s">
        <v>37</v>
      </c>
      <c r="F39" t="s">
        <v>10</v>
      </c>
      <c r="G39" t="s">
        <v>40</v>
      </c>
      <c r="H39" t="s">
        <v>55</v>
      </c>
      <c r="I39" s="7">
        <v>6832.59</v>
      </c>
      <c r="J39" s="7">
        <v>6937.95</v>
      </c>
    </row>
    <row r="40" spans="1:10" x14ac:dyDescent="0.3">
      <c r="A40" s="3">
        <v>45523</v>
      </c>
      <c r="B40" s="5">
        <v>8</v>
      </c>
      <c r="C40" s="5">
        <v>2024</v>
      </c>
      <c r="D40" s="5">
        <v>3</v>
      </c>
      <c r="E40" t="s">
        <v>28</v>
      </c>
      <c r="F40" t="s">
        <v>10</v>
      </c>
      <c r="G40" t="s">
        <v>40</v>
      </c>
      <c r="H40" t="s">
        <v>49</v>
      </c>
      <c r="I40" s="7">
        <v>14707.73</v>
      </c>
      <c r="J40" s="7">
        <v>15188.32</v>
      </c>
    </row>
    <row r="41" spans="1:10" x14ac:dyDescent="0.3">
      <c r="A41" s="3">
        <v>45523</v>
      </c>
      <c r="B41" s="5">
        <v>8</v>
      </c>
      <c r="C41" s="5">
        <v>2024</v>
      </c>
      <c r="D41" s="5">
        <v>3</v>
      </c>
      <c r="E41" t="s">
        <v>25</v>
      </c>
      <c r="F41" t="s">
        <v>17</v>
      </c>
      <c r="G41" t="s">
        <v>57</v>
      </c>
      <c r="H41" t="s">
        <v>65</v>
      </c>
      <c r="I41" s="7">
        <v>-10217.52</v>
      </c>
    </row>
    <row r="42" spans="1:10" x14ac:dyDescent="0.3">
      <c r="A42" s="3">
        <v>45523</v>
      </c>
      <c r="B42" s="5">
        <v>8</v>
      </c>
      <c r="C42" s="5">
        <v>2024</v>
      </c>
      <c r="D42" s="5">
        <v>3</v>
      </c>
      <c r="E42" t="s">
        <v>34</v>
      </c>
      <c r="F42" t="s">
        <v>10</v>
      </c>
      <c r="G42" t="s">
        <v>74</v>
      </c>
      <c r="H42" t="s">
        <v>87</v>
      </c>
      <c r="I42" s="7">
        <v>9681.4</v>
      </c>
      <c r="J42" s="7">
        <v>9560.65</v>
      </c>
    </row>
    <row r="43" spans="1:10" x14ac:dyDescent="0.3">
      <c r="A43" s="3">
        <v>45526</v>
      </c>
      <c r="B43" s="5">
        <v>8</v>
      </c>
      <c r="C43" s="5">
        <v>2024</v>
      </c>
      <c r="D43" s="5">
        <v>3</v>
      </c>
      <c r="E43" t="s">
        <v>19</v>
      </c>
      <c r="F43" t="s">
        <v>10</v>
      </c>
      <c r="G43" t="s">
        <v>40</v>
      </c>
      <c r="H43" t="s">
        <v>43</v>
      </c>
      <c r="I43" s="7">
        <v>20604.150000000001</v>
      </c>
      <c r="J43" s="7">
        <v>21160.42</v>
      </c>
    </row>
    <row r="44" spans="1:10" x14ac:dyDescent="0.3">
      <c r="A44" s="3">
        <v>45526</v>
      </c>
      <c r="B44" s="5">
        <v>8</v>
      </c>
      <c r="C44" s="5">
        <v>2024</v>
      </c>
      <c r="D44" s="5">
        <v>3</v>
      </c>
      <c r="E44" t="s">
        <v>28</v>
      </c>
      <c r="F44" t="s">
        <v>17</v>
      </c>
      <c r="G44" t="s">
        <v>74</v>
      </c>
      <c r="H44" t="s">
        <v>84</v>
      </c>
      <c r="I44" s="7">
        <v>-12899.69</v>
      </c>
    </row>
    <row r="45" spans="1:10" x14ac:dyDescent="0.3">
      <c r="A45" s="3">
        <v>45527</v>
      </c>
      <c r="B45" s="5">
        <v>8</v>
      </c>
      <c r="C45" s="5">
        <v>2024</v>
      </c>
      <c r="D45" s="5">
        <v>3</v>
      </c>
      <c r="E45" t="s">
        <v>37</v>
      </c>
      <c r="F45" t="s">
        <v>10</v>
      </c>
      <c r="G45" t="s">
        <v>74</v>
      </c>
      <c r="H45" t="s">
        <v>89</v>
      </c>
      <c r="I45" s="7">
        <v>6056.39</v>
      </c>
      <c r="J45" s="7">
        <v>6467.51</v>
      </c>
    </row>
    <row r="46" spans="1:10" x14ac:dyDescent="0.3">
      <c r="A46" s="3">
        <v>45528</v>
      </c>
      <c r="B46" s="5">
        <v>8</v>
      </c>
      <c r="C46" s="5">
        <v>2024</v>
      </c>
      <c r="D46" s="5">
        <v>3</v>
      </c>
      <c r="E46" t="s">
        <v>34</v>
      </c>
      <c r="F46" t="s">
        <v>10</v>
      </c>
      <c r="G46" t="s">
        <v>15</v>
      </c>
      <c r="H46" t="s">
        <v>35</v>
      </c>
      <c r="I46" s="7">
        <v>12032.18</v>
      </c>
      <c r="J46" s="7">
        <v>11862.07</v>
      </c>
    </row>
    <row r="47" spans="1:10" x14ac:dyDescent="0.3">
      <c r="A47" s="3">
        <v>45528</v>
      </c>
      <c r="B47" s="5">
        <v>8</v>
      </c>
      <c r="C47" s="5">
        <v>2024</v>
      </c>
      <c r="D47" s="5">
        <v>3</v>
      </c>
      <c r="E47" t="s">
        <v>14</v>
      </c>
      <c r="F47" t="s">
        <v>10</v>
      </c>
      <c r="G47" t="s">
        <v>40</v>
      </c>
      <c r="H47" t="s">
        <v>41</v>
      </c>
      <c r="I47" s="7">
        <v>32963.94</v>
      </c>
      <c r="J47" s="7">
        <v>33454.69</v>
      </c>
    </row>
    <row r="48" spans="1:10" x14ac:dyDescent="0.3">
      <c r="A48" s="3">
        <v>45529</v>
      </c>
      <c r="B48" s="5">
        <v>8</v>
      </c>
      <c r="C48" s="5">
        <v>2024</v>
      </c>
      <c r="D48" s="5">
        <v>3</v>
      </c>
      <c r="E48" t="s">
        <v>28</v>
      </c>
      <c r="F48" t="s">
        <v>10</v>
      </c>
      <c r="G48" t="s">
        <v>15</v>
      </c>
      <c r="H48" t="s">
        <v>29</v>
      </c>
      <c r="I48" s="7">
        <v>18181.2</v>
      </c>
      <c r="J48" s="7">
        <v>19599.32</v>
      </c>
    </row>
    <row r="49" spans="1:10" x14ac:dyDescent="0.3">
      <c r="A49" s="3">
        <v>45529</v>
      </c>
      <c r="B49" s="5">
        <v>8</v>
      </c>
      <c r="C49" s="5">
        <v>2024</v>
      </c>
      <c r="D49" s="5">
        <v>3</v>
      </c>
      <c r="E49" t="s">
        <v>14</v>
      </c>
      <c r="F49" t="s">
        <v>17</v>
      </c>
      <c r="G49" t="s">
        <v>57</v>
      </c>
      <c r="H49" t="s">
        <v>59</v>
      </c>
      <c r="I49" s="7">
        <v>-13900.11</v>
      </c>
    </row>
    <row r="50" spans="1:10" x14ac:dyDescent="0.3">
      <c r="A50" s="3">
        <v>45529</v>
      </c>
      <c r="B50" s="5">
        <v>8</v>
      </c>
      <c r="C50" s="5">
        <v>2024</v>
      </c>
      <c r="D50" s="5">
        <v>3</v>
      </c>
      <c r="E50" t="s">
        <v>25</v>
      </c>
      <c r="F50" t="s">
        <v>10</v>
      </c>
      <c r="G50" t="s">
        <v>57</v>
      </c>
      <c r="H50" t="s">
        <v>64</v>
      </c>
      <c r="I50" s="7">
        <v>8661.6200000000008</v>
      </c>
      <c r="J50" s="7">
        <v>9316.01</v>
      </c>
    </row>
    <row r="51" spans="1:10" x14ac:dyDescent="0.3">
      <c r="A51" s="3">
        <v>45529</v>
      </c>
      <c r="B51" s="5">
        <v>8</v>
      </c>
      <c r="C51" s="5">
        <v>2024</v>
      </c>
      <c r="D51" s="5">
        <v>3</v>
      </c>
      <c r="E51" t="s">
        <v>22</v>
      </c>
      <c r="F51" t="s">
        <v>17</v>
      </c>
      <c r="G51" t="s">
        <v>74</v>
      </c>
      <c r="H51" t="s">
        <v>80</v>
      </c>
      <c r="I51" s="7">
        <v>-18489.32</v>
      </c>
    </row>
    <row r="52" spans="1:10" x14ac:dyDescent="0.3">
      <c r="A52" s="3">
        <v>45530</v>
      </c>
      <c r="B52" s="5">
        <v>8</v>
      </c>
      <c r="C52" s="5">
        <v>2024</v>
      </c>
      <c r="D52" s="5">
        <v>3</v>
      </c>
      <c r="E52" t="s">
        <v>22</v>
      </c>
      <c r="F52" t="s">
        <v>10</v>
      </c>
      <c r="G52" t="s">
        <v>15</v>
      </c>
      <c r="H52" t="s">
        <v>23</v>
      </c>
      <c r="I52" s="7">
        <v>20381.599999999999</v>
      </c>
      <c r="J52" s="7">
        <v>19795.650000000001</v>
      </c>
    </row>
    <row r="53" spans="1:10" x14ac:dyDescent="0.3">
      <c r="A53" s="3">
        <v>45530</v>
      </c>
      <c r="B53" s="5">
        <v>8</v>
      </c>
      <c r="C53" s="5">
        <v>2024</v>
      </c>
      <c r="D53" s="5">
        <v>3</v>
      </c>
      <c r="E53" t="s">
        <v>34</v>
      </c>
      <c r="F53" t="s">
        <v>10</v>
      </c>
      <c r="G53" t="s">
        <v>40</v>
      </c>
      <c r="H53" t="s">
        <v>53</v>
      </c>
      <c r="I53" s="7">
        <v>12869.68</v>
      </c>
      <c r="J53" s="7">
        <v>12426.36</v>
      </c>
    </row>
    <row r="54" spans="1:10" x14ac:dyDescent="0.3">
      <c r="A54" s="3">
        <v>45530</v>
      </c>
      <c r="B54" s="5">
        <v>8</v>
      </c>
      <c r="C54" s="5">
        <v>2024</v>
      </c>
      <c r="D54" s="5">
        <v>3</v>
      </c>
      <c r="E54" t="s">
        <v>22</v>
      </c>
      <c r="F54" t="s">
        <v>10</v>
      </c>
      <c r="G54" t="s">
        <v>74</v>
      </c>
      <c r="H54" t="s">
        <v>79</v>
      </c>
      <c r="I54" s="7">
        <v>18786.79</v>
      </c>
      <c r="J54" s="7">
        <v>19393.740000000002</v>
      </c>
    </row>
    <row r="55" spans="1:10" x14ac:dyDescent="0.3">
      <c r="A55" s="3">
        <v>45531</v>
      </c>
      <c r="B55" s="5">
        <v>8</v>
      </c>
      <c r="C55" s="5">
        <v>2024</v>
      </c>
      <c r="D55" s="5">
        <v>3</v>
      </c>
      <c r="E55" t="s">
        <v>14</v>
      </c>
      <c r="F55" t="s">
        <v>17</v>
      </c>
      <c r="G55" t="s">
        <v>74</v>
      </c>
      <c r="H55" t="s">
        <v>76</v>
      </c>
      <c r="I55" s="7">
        <v>-18195.41</v>
      </c>
    </row>
    <row r="56" spans="1:10" x14ac:dyDescent="0.3">
      <c r="A56" s="3">
        <v>45533</v>
      </c>
      <c r="B56" s="5">
        <v>8</v>
      </c>
      <c r="C56" s="5">
        <v>2024</v>
      </c>
      <c r="D56" s="5">
        <v>3</v>
      </c>
      <c r="E56" t="s">
        <v>19</v>
      </c>
      <c r="F56" t="s">
        <v>10</v>
      </c>
      <c r="G56" t="s">
        <v>15</v>
      </c>
      <c r="H56" t="s">
        <v>20</v>
      </c>
      <c r="I56" s="7">
        <v>22710.92</v>
      </c>
      <c r="J56" s="7">
        <v>21799.46</v>
      </c>
    </row>
    <row r="57" spans="1:10" x14ac:dyDescent="0.3">
      <c r="A57" s="3">
        <v>45533</v>
      </c>
      <c r="B57" s="5">
        <v>8</v>
      </c>
      <c r="C57" s="5">
        <v>2024</v>
      </c>
      <c r="D57" s="5">
        <v>3</v>
      </c>
      <c r="E57" t="s">
        <v>25</v>
      </c>
      <c r="F57" t="s">
        <v>10</v>
      </c>
      <c r="G57" t="s">
        <v>40</v>
      </c>
      <c r="H57" t="s">
        <v>47</v>
      </c>
      <c r="I57" s="7">
        <v>6385.55</v>
      </c>
      <c r="J57" s="7">
        <v>6674.57</v>
      </c>
    </row>
    <row r="58" spans="1:10" x14ac:dyDescent="0.3">
      <c r="A58" s="3">
        <v>45533</v>
      </c>
      <c r="B58" s="5">
        <v>8</v>
      </c>
      <c r="C58" s="5">
        <v>2024</v>
      </c>
      <c r="D58" s="5">
        <v>3</v>
      </c>
      <c r="E58" t="s">
        <v>14</v>
      </c>
      <c r="F58" t="s">
        <v>10</v>
      </c>
      <c r="G58" t="s">
        <v>57</v>
      </c>
      <c r="H58" t="s">
        <v>58</v>
      </c>
      <c r="I58" s="7">
        <v>21585.45</v>
      </c>
      <c r="J58" s="7">
        <v>21091.27</v>
      </c>
    </row>
    <row r="59" spans="1:10" x14ac:dyDescent="0.3">
      <c r="A59" s="3">
        <v>45533</v>
      </c>
      <c r="B59" s="5">
        <v>8</v>
      </c>
      <c r="C59" s="5">
        <v>2024</v>
      </c>
      <c r="D59" s="5">
        <v>3</v>
      </c>
      <c r="E59" t="s">
        <v>28</v>
      </c>
      <c r="F59" t="s">
        <v>17</v>
      </c>
      <c r="G59" t="s">
        <v>57</v>
      </c>
      <c r="H59" t="s">
        <v>67</v>
      </c>
      <c r="I59" s="7">
        <v>-8838.74</v>
      </c>
    </row>
    <row r="60" spans="1:10" x14ac:dyDescent="0.3">
      <c r="A60" s="3">
        <v>45533</v>
      </c>
      <c r="B60" s="5">
        <v>8</v>
      </c>
      <c r="C60" s="5">
        <v>2024</v>
      </c>
      <c r="D60" s="5">
        <v>3</v>
      </c>
      <c r="E60" t="s">
        <v>19</v>
      </c>
      <c r="F60" t="s">
        <v>10</v>
      </c>
      <c r="G60" t="s">
        <v>74</v>
      </c>
      <c r="H60" t="s">
        <v>77</v>
      </c>
      <c r="I60" s="7">
        <v>21132.87</v>
      </c>
      <c r="J60" s="7">
        <v>21807.8</v>
      </c>
    </row>
    <row r="61" spans="1:10" x14ac:dyDescent="0.3">
      <c r="A61" s="3">
        <v>45533</v>
      </c>
      <c r="B61" s="5">
        <v>8</v>
      </c>
      <c r="C61" s="5">
        <v>2024</v>
      </c>
      <c r="D61" s="5">
        <v>3</v>
      </c>
      <c r="E61" t="s">
        <v>25</v>
      </c>
      <c r="F61" t="s">
        <v>17</v>
      </c>
      <c r="G61" t="s">
        <v>74</v>
      </c>
      <c r="H61" t="s">
        <v>82</v>
      </c>
      <c r="I61" s="7">
        <v>-2441.08</v>
      </c>
    </row>
    <row r="62" spans="1:10" x14ac:dyDescent="0.3">
      <c r="A62" s="3">
        <v>45534</v>
      </c>
      <c r="B62" s="5">
        <v>8</v>
      </c>
      <c r="C62" s="5">
        <v>2024</v>
      </c>
      <c r="D62" s="5">
        <v>3</v>
      </c>
      <c r="E62" t="s">
        <v>14</v>
      </c>
      <c r="F62" t="s">
        <v>10</v>
      </c>
      <c r="G62" t="s">
        <v>74</v>
      </c>
      <c r="H62" t="s">
        <v>75</v>
      </c>
      <c r="I62" s="7">
        <v>22975.17</v>
      </c>
      <c r="J62" s="7">
        <v>22494.240000000002</v>
      </c>
    </row>
    <row r="63" spans="1:10" x14ac:dyDescent="0.3">
      <c r="A63" s="3">
        <v>45535</v>
      </c>
      <c r="B63" s="5">
        <v>8</v>
      </c>
      <c r="C63" s="5">
        <v>2024</v>
      </c>
      <c r="D63" s="5">
        <v>3</v>
      </c>
      <c r="E63" t="s">
        <v>31</v>
      </c>
      <c r="F63" t="s">
        <v>17</v>
      </c>
      <c r="G63" t="s">
        <v>57</v>
      </c>
      <c r="H63" t="s">
        <v>69</v>
      </c>
      <c r="I63" s="7">
        <v>-5360.49</v>
      </c>
    </row>
    <row r="64" spans="1:10" x14ac:dyDescent="0.3">
      <c r="A64" s="3">
        <v>45535</v>
      </c>
      <c r="B64" s="5">
        <v>8</v>
      </c>
      <c r="C64" s="5">
        <v>2024</v>
      </c>
      <c r="D64" s="5">
        <v>3</v>
      </c>
      <c r="E64" t="s">
        <v>34</v>
      </c>
      <c r="F64" t="s">
        <v>10</v>
      </c>
      <c r="G64" t="s">
        <v>57</v>
      </c>
      <c r="H64" t="s">
        <v>70</v>
      </c>
      <c r="I64" s="7">
        <v>9415.0400000000009</v>
      </c>
      <c r="J64" s="7">
        <v>9544.4699999999993</v>
      </c>
    </row>
    <row r="65" spans="1:10" x14ac:dyDescent="0.3">
      <c r="A65" s="3">
        <v>45535</v>
      </c>
      <c r="B65" s="5">
        <v>8</v>
      </c>
      <c r="C65" s="5">
        <v>2024</v>
      </c>
      <c r="D65" s="5">
        <v>3</v>
      </c>
      <c r="E65" t="s">
        <v>37</v>
      </c>
      <c r="F65" t="s">
        <v>10</v>
      </c>
      <c r="G65" t="s">
        <v>57</v>
      </c>
      <c r="H65" t="s">
        <v>72</v>
      </c>
      <c r="I65" s="7">
        <v>4587.8</v>
      </c>
      <c r="J65" s="7">
        <v>4899.1000000000004</v>
      </c>
    </row>
    <row r="66" spans="1:10" x14ac:dyDescent="0.3">
      <c r="A66" s="3">
        <v>45536</v>
      </c>
      <c r="B66" s="5">
        <v>9</v>
      </c>
      <c r="C66" s="5">
        <v>2024</v>
      </c>
      <c r="D66" s="5">
        <v>3</v>
      </c>
      <c r="E66" t="s">
        <v>25</v>
      </c>
      <c r="F66" t="s">
        <v>17</v>
      </c>
      <c r="G66" t="s">
        <v>15</v>
      </c>
      <c r="H66" t="s">
        <v>27</v>
      </c>
      <c r="I66" s="7">
        <v>-7790.46</v>
      </c>
    </row>
    <row r="67" spans="1:10" x14ac:dyDescent="0.3">
      <c r="A67" s="3">
        <v>45536</v>
      </c>
      <c r="B67" s="5">
        <v>9</v>
      </c>
      <c r="C67" s="5">
        <v>2024</v>
      </c>
      <c r="D67" s="5">
        <v>3</v>
      </c>
      <c r="E67" t="s">
        <v>28</v>
      </c>
      <c r="F67" t="s">
        <v>17</v>
      </c>
      <c r="G67" t="s">
        <v>15</v>
      </c>
      <c r="H67" t="s">
        <v>30</v>
      </c>
      <c r="I67" s="7">
        <v>-16416.400000000001</v>
      </c>
    </row>
    <row r="68" spans="1:10" x14ac:dyDescent="0.3">
      <c r="A68" s="3">
        <v>45536</v>
      </c>
      <c r="B68" s="5">
        <v>9</v>
      </c>
      <c r="C68" s="5">
        <v>2024</v>
      </c>
      <c r="D68" s="5">
        <v>3</v>
      </c>
      <c r="E68" t="s">
        <v>28</v>
      </c>
      <c r="F68" t="s">
        <v>17</v>
      </c>
      <c r="G68" t="s">
        <v>57</v>
      </c>
      <c r="H68" t="s">
        <v>67</v>
      </c>
      <c r="I68" s="7">
        <v>-10802.43</v>
      </c>
    </row>
    <row r="69" spans="1:10" x14ac:dyDescent="0.3">
      <c r="A69" s="3">
        <v>45536</v>
      </c>
      <c r="B69" s="5">
        <v>9</v>
      </c>
      <c r="C69" s="5">
        <v>2024</v>
      </c>
      <c r="D69" s="5">
        <v>3</v>
      </c>
      <c r="E69" t="s">
        <v>34</v>
      </c>
      <c r="F69" t="s">
        <v>10</v>
      </c>
      <c r="G69" t="s">
        <v>74</v>
      </c>
      <c r="H69" t="s">
        <v>87</v>
      </c>
      <c r="I69" s="7">
        <v>11227.92</v>
      </c>
      <c r="J69" s="7">
        <v>11229.78</v>
      </c>
    </row>
    <row r="70" spans="1:10" x14ac:dyDescent="0.3">
      <c r="A70" s="3">
        <v>45537</v>
      </c>
      <c r="B70" s="5">
        <v>9</v>
      </c>
      <c r="C70" s="5">
        <v>2024</v>
      </c>
      <c r="D70" s="5">
        <v>3</v>
      </c>
      <c r="E70" t="s">
        <v>14</v>
      </c>
      <c r="F70" t="s">
        <v>10</v>
      </c>
      <c r="G70" t="s">
        <v>15</v>
      </c>
      <c r="H70" t="s">
        <v>16</v>
      </c>
      <c r="I70" s="7">
        <v>36300.67</v>
      </c>
      <c r="J70" s="7">
        <v>35609.129999999997</v>
      </c>
    </row>
    <row r="71" spans="1:10" x14ac:dyDescent="0.3">
      <c r="A71" s="3">
        <v>45538</v>
      </c>
      <c r="B71" s="5">
        <v>9</v>
      </c>
      <c r="C71" s="5">
        <v>2024</v>
      </c>
      <c r="D71" s="5">
        <v>3</v>
      </c>
      <c r="E71" t="s">
        <v>22</v>
      </c>
      <c r="F71" t="s">
        <v>17</v>
      </c>
      <c r="G71" t="s">
        <v>40</v>
      </c>
      <c r="H71" t="s">
        <v>46</v>
      </c>
      <c r="I71" s="7">
        <v>-16626.93</v>
      </c>
    </row>
    <row r="72" spans="1:10" x14ac:dyDescent="0.3">
      <c r="A72" s="3">
        <v>45538</v>
      </c>
      <c r="B72" s="5">
        <v>9</v>
      </c>
      <c r="C72" s="5">
        <v>2024</v>
      </c>
      <c r="D72" s="5">
        <v>3</v>
      </c>
      <c r="E72" t="s">
        <v>19</v>
      </c>
      <c r="F72" t="s">
        <v>17</v>
      </c>
      <c r="G72" t="s">
        <v>57</v>
      </c>
      <c r="H72" t="s">
        <v>61</v>
      </c>
      <c r="I72" s="7">
        <v>-9194.84</v>
      </c>
    </row>
    <row r="73" spans="1:10" x14ac:dyDescent="0.3">
      <c r="A73" s="3">
        <v>45538</v>
      </c>
      <c r="B73" s="5">
        <v>9</v>
      </c>
      <c r="C73" s="5">
        <v>2024</v>
      </c>
      <c r="D73" s="5">
        <v>3</v>
      </c>
      <c r="E73" t="s">
        <v>37</v>
      </c>
      <c r="F73" t="s">
        <v>10</v>
      </c>
      <c r="G73" t="s">
        <v>57</v>
      </c>
      <c r="H73" t="s">
        <v>72</v>
      </c>
      <c r="I73" s="7">
        <v>5908.04</v>
      </c>
      <c r="J73" s="7">
        <v>5842.15</v>
      </c>
    </row>
    <row r="74" spans="1:10" x14ac:dyDescent="0.3">
      <c r="A74" s="3">
        <v>45540</v>
      </c>
      <c r="B74" s="5">
        <v>9</v>
      </c>
      <c r="C74" s="5">
        <v>2024</v>
      </c>
      <c r="D74" s="5">
        <v>3</v>
      </c>
      <c r="E74" t="s">
        <v>25</v>
      </c>
      <c r="F74" t="s">
        <v>10</v>
      </c>
      <c r="G74" t="s">
        <v>74</v>
      </c>
      <c r="H74" t="s">
        <v>81</v>
      </c>
      <c r="I74" s="7">
        <v>6553.35</v>
      </c>
      <c r="J74" s="7">
        <v>6725.21</v>
      </c>
    </row>
    <row r="75" spans="1:10" x14ac:dyDescent="0.3">
      <c r="A75" s="3">
        <v>45541</v>
      </c>
      <c r="B75" s="5">
        <v>9</v>
      </c>
      <c r="C75" s="5">
        <v>2024</v>
      </c>
      <c r="D75" s="5">
        <v>3</v>
      </c>
      <c r="E75" t="s">
        <v>31</v>
      </c>
      <c r="F75" t="s">
        <v>10</v>
      </c>
      <c r="G75" t="s">
        <v>40</v>
      </c>
      <c r="H75" t="s">
        <v>51</v>
      </c>
      <c r="I75" s="7">
        <v>5789.75</v>
      </c>
      <c r="J75" s="7">
        <v>6325.43</v>
      </c>
    </row>
    <row r="76" spans="1:10" x14ac:dyDescent="0.3">
      <c r="A76" s="3">
        <v>45542</v>
      </c>
      <c r="B76" s="5">
        <v>9</v>
      </c>
      <c r="C76" s="5">
        <v>2024</v>
      </c>
      <c r="D76" s="5">
        <v>3</v>
      </c>
      <c r="E76" t="s">
        <v>19</v>
      </c>
      <c r="F76" t="s">
        <v>17</v>
      </c>
      <c r="G76" t="s">
        <v>40</v>
      </c>
      <c r="H76" t="s">
        <v>44</v>
      </c>
      <c r="I76" s="7">
        <v>-13692.27</v>
      </c>
    </row>
    <row r="77" spans="1:10" x14ac:dyDescent="0.3">
      <c r="A77" s="3">
        <v>45542</v>
      </c>
      <c r="B77" s="5">
        <v>9</v>
      </c>
      <c r="C77" s="5">
        <v>2024</v>
      </c>
      <c r="D77" s="5">
        <v>3</v>
      </c>
      <c r="E77" t="s">
        <v>37</v>
      </c>
      <c r="F77" t="s">
        <v>10</v>
      </c>
      <c r="G77" t="s">
        <v>74</v>
      </c>
      <c r="H77" t="s">
        <v>89</v>
      </c>
      <c r="I77" s="7">
        <v>5378.92</v>
      </c>
      <c r="J77" s="7">
        <v>5722.12</v>
      </c>
    </row>
    <row r="78" spans="1:10" x14ac:dyDescent="0.3">
      <c r="A78" s="3">
        <v>45542</v>
      </c>
      <c r="B78" s="5">
        <v>9</v>
      </c>
      <c r="C78" s="5">
        <v>2024</v>
      </c>
      <c r="D78" s="5">
        <v>3</v>
      </c>
      <c r="E78" t="s">
        <v>37</v>
      </c>
      <c r="F78" t="s">
        <v>17</v>
      </c>
      <c r="G78" t="s">
        <v>74</v>
      </c>
      <c r="H78" t="s">
        <v>90</v>
      </c>
      <c r="I78" s="7">
        <v>-6439.01</v>
      </c>
    </row>
    <row r="79" spans="1:10" x14ac:dyDescent="0.3">
      <c r="A79" s="3">
        <v>45543</v>
      </c>
      <c r="B79" s="5">
        <v>9</v>
      </c>
      <c r="C79" s="5">
        <v>2024</v>
      </c>
      <c r="D79" s="5">
        <v>3</v>
      </c>
      <c r="E79" t="s">
        <v>22</v>
      </c>
      <c r="F79" t="s">
        <v>17</v>
      </c>
      <c r="G79" t="s">
        <v>15</v>
      </c>
      <c r="H79" t="s">
        <v>24</v>
      </c>
      <c r="I79" s="7">
        <v>-44950.78</v>
      </c>
    </row>
    <row r="80" spans="1:10" x14ac:dyDescent="0.3">
      <c r="A80" s="3">
        <v>45543</v>
      </c>
      <c r="B80" s="5">
        <v>9</v>
      </c>
      <c r="C80" s="5">
        <v>2024</v>
      </c>
      <c r="D80" s="5">
        <v>3</v>
      </c>
      <c r="E80" t="s">
        <v>34</v>
      </c>
      <c r="F80" t="s">
        <v>17</v>
      </c>
      <c r="G80" t="s">
        <v>15</v>
      </c>
      <c r="H80" t="s">
        <v>36</v>
      </c>
      <c r="I80" s="7">
        <v>-11767.85</v>
      </c>
    </row>
    <row r="81" spans="1:10" x14ac:dyDescent="0.3">
      <c r="A81" s="3">
        <v>45543</v>
      </c>
      <c r="B81" s="5">
        <v>9</v>
      </c>
      <c r="C81" s="5">
        <v>2024</v>
      </c>
      <c r="D81" s="5">
        <v>3</v>
      </c>
      <c r="E81" t="s">
        <v>19</v>
      </c>
      <c r="F81" t="s">
        <v>10</v>
      </c>
      <c r="G81" t="s">
        <v>40</v>
      </c>
      <c r="H81" t="s">
        <v>43</v>
      </c>
      <c r="I81" s="7">
        <v>21249.33</v>
      </c>
      <c r="J81" s="7">
        <v>21778.32</v>
      </c>
    </row>
    <row r="82" spans="1:10" x14ac:dyDescent="0.3">
      <c r="A82" s="3">
        <v>45543</v>
      </c>
      <c r="B82" s="5">
        <v>9</v>
      </c>
      <c r="C82" s="5">
        <v>2024</v>
      </c>
      <c r="D82" s="5">
        <v>3</v>
      </c>
      <c r="E82" t="s">
        <v>22</v>
      </c>
      <c r="F82" t="s">
        <v>17</v>
      </c>
      <c r="G82" t="s">
        <v>57</v>
      </c>
      <c r="H82" t="s">
        <v>63</v>
      </c>
      <c r="I82" s="7">
        <v>-12606.78</v>
      </c>
    </row>
    <row r="83" spans="1:10" x14ac:dyDescent="0.3">
      <c r="A83" s="3">
        <v>45544</v>
      </c>
      <c r="B83" s="5">
        <v>9</v>
      </c>
      <c r="C83" s="5">
        <v>2024</v>
      </c>
      <c r="D83" s="5">
        <v>3</v>
      </c>
      <c r="E83" t="s">
        <v>28</v>
      </c>
      <c r="F83" t="s">
        <v>10</v>
      </c>
      <c r="G83" t="s">
        <v>40</v>
      </c>
      <c r="H83" t="s">
        <v>49</v>
      </c>
      <c r="I83" s="7">
        <v>15627.17</v>
      </c>
      <c r="J83" s="7">
        <v>15952.62</v>
      </c>
    </row>
    <row r="84" spans="1:10" x14ac:dyDescent="0.3">
      <c r="A84" s="3">
        <v>45544</v>
      </c>
      <c r="B84" s="5">
        <v>9</v>
      </c>
      <c r="C84" s="5">
        <v>2024</v>
      </c>
      <c r="D84" s="5">
        <v>3</v>
      </c>
      <c r="E84" t="s">
        <v>25</v>
      </c>
      <c r="F84" t="s">
        <v>10</v>
      </c>
      <c r="G84" t="s">
        <v>57</v>
      </c>
      <c r="H84" t="s">
        <v>64</v>
      </c>
      <c r="I84" s="7">
        <v>9114.6200000000008</v>
      </c>
      <c r="J84" s="7">
        <v>9456.4699999999993</v>
      </c>
    </row>
    <row r="85" spans="1:10" x14ac:dyDescent="0.3">
      <c r="A85" s="3">
        <v>45544</v>
      </c>
      <c r="B85" s="5">
        <v>9</v>
      </c>
      <c r="C85" s="5">
        <v>2024</v>
      </c>
      <c r="D85" s="5">
        <v>3</v>
      </c>
      <c r="E85" t="s">
        <v>19</v>
      </c>
      <c r="F85" t="s">
        <v>10</v>
      </c>
      <c r="G85" t="s">
        <v>74</v>
      </c>
      <c r="H85" t="s">
        <v>77</v>
      </c>
      <c r="I85" s="7">
        <v>20248.900000000001</v>
      </c>
      <c r="J85" s="7">
        <v>21281.52</v>
      </c>
    </row>
    <row r="86" spans="1:10" x14ac:dyDescent="0.3">
      <c r="A86" s="3">
        <v>45545</v>
      </c>
      <c r="B86" s="5">
        <v>9</v>
      </c>
      <c r="C86" s="5">
        <v>2024</v>
      </c>
      <c r="D86" s="5">
        <v>3</v>
      </c>
      <c r="E86" t="s">
        <v>28</v>
      </c>
      <c r="F86" t="s">
        <v>17</v>
      </c>
      <c r="G86" t="s">
        <v>40</v>
      </c>
      <c r="H86" t="s">
        <v>50</v>
      </c>
      <c r="I86" s="7">
        <v>-8143.26</v>
      </c>
    </row>
    <row r="87" spans="1:10" x14ac:dyDescent="0.3">
      <c r="A87" s="3">
        <v>45545</v>
      </c>
      <c r="B87" s="5">
        <v>9</v>
      </c>
      <c r="C87" s="5">
        <v>2024</v>
      </c>
      <c r="D87" s="5">
        <v>3</v>
      </c>
      <c r="E87" t="s">
        <v>34</v>
      </c>
      <c r="F87" t="s">
        <v>17</v>
      </c>
      <c r="G87" t="s">
        <v>57</v>
      </c>
      <c r="H87" t="s">
        <v>71</v>
      </c>
      <c r="I87" s="7">
        <v>-6284.25</v>
      </c>
    </row>
    <row r="88" spans="1:10" x14ac:dyDescent="0.3">
      <c r="A88" s="3">
        <v>45546</v>
      </c>
      <c r="B88" s="5">
        <v>9</v>
      </c>
      <c r="C88" s="5">
        <v>2024</v>
      </c>
      <c r="D88" s="5">
        <v>3</v>
      </c>
      <c r="E88" t="s">
        <v>19</v>
      </c>
      <c r="F88" t="s">
        <v>10</v>
      </c>
      <c r="G88" t="s">
        <v>15</v>
      </c>
      <c r="H88" t="s">
        <v>20</v>
      </c>
      <c r="I88" s="7">
        <v>27068.61</v>
      </c>
      <c r="J88" s="7">
        <v>28892.94</v>
      </c>
    </row>
    <row r="89" spans="1:10" x14ac:dyDescent="0.3">
      <c r="A89" s="3">
        <v>45546</v>
      </c>
      <c r="B89" s="5">
        <v>9</v>
      </c>
      <c r="C89" s="5">
        <v>2024</v>
      </c>
      <c r="D89" s="5">
        <v>3</v>
      </c>
      <c r="E89" t="s">
        <v>31</v>
      </c>
      <c r="F89" t="s">
        <v>17</v>
      </c>
      <c r="G89" t="s">
        <v>57</v>
      </c>
      <c r="H89" t="s">
        <v>69</v>
      </c>
      <c r="I89" s="7">
        <v>-5964.21</v>
      </c>
    </row>
    <row r="90" spans="1:10" x14ac:dyDescent="0.3">
      <c r="A90" s="3">
        <v>45548</v>
      </c>
      <c r="B90" s="5">
        <v>9</v>
      </c>
      <c r="C90" s="5">
        <v>2024</v>
      </c>
      <c r="D90" s="5">
        <v>3</v>
      </c>
      <c r="E90" t="s">
        <v>19</v>
      </c>
      <c r="F90" t="s">
        <v>17</v>
      </c>
      <c r="G90" t="s">
        <v>74</v>
      </c>
      <c r="H90" t="s">
        <v>78</v>
      </c>
      <c r="I90" s="7">
        <v>-7690.52</v>
      </c>
    </row>
    <row r="91" spans="1:10" x14ac:dyDescent="0.3">
      <c r="A91" s="3">
        <v>45549</v>
      </c>
      <c r="B91" s="5">
        <v>9</v>
      </c>
      <c r="C91" s="5">
        <v>2024</v>
      </c>
      <c r="D91" s="5">
        <v>3</v>
      </c>
      <c r="E91" t="s">
        <v>37</v>
      </c>
      <c r="F91" t="s">
        <v>17</v>
      </c>
      <c r="G91" t="s">
        <v>40</v>
      </c>
      <c r="H91" t="s">
        <v>56</v>
      </c>
      <c r="I91" s="7">
        <v>-4554.9399999999996</v>
      </c>
    </row>
    <row r="92" spans="1:10" x14ac:dyDescent="0.3">
      <c r="A92" s="3">
        <v>45549</v>
      </c>
      <c r="B92" s="5">
        <v>9</v>
      </c>
      <c r="C92" s="5">
        <v>2024</v>
      </c>
      <c r="D92" s="5">
        <v>3</v>
      </c>
      <c r="E92" t="s">
        <v>14</v>
      </c>
      <c r="F92" t="s">
        <v>17</v>
      </c>
      <c r="G92" t="s">
        <v>57</v>
      </c>
      <c r="H92" t="s">
        <v>59</v>
      </c>
      <c r="I92" s="7">
        <v>-39082.79</v>
      </c>
    </row>
    <row r="93" spans="1:10" x14ac:dyDescent="0.3">
      <c r="A93" s="3">
        <v>45550</v>
      </c>
      <c r="B93" s="5">
        <v>9</v>
      </c>
      <c r="C93" s="5">
        <v>2024</v>
      </c>
      <c r="D93" s="5">
        <v>3</v>
      </c>
      <c r="E93" t="s">
        <v>14</v>
      </c>
      <c r="F93" t="s">
        <v>10</v>
      </c>
      <c r="G93" t="s">
        <v>74</v>
      </c>
      <c r="H93" t="s">
        <v>75</v>
      </c>
      <c r="I93" s="7">
        <v>24627.39</v>
      </c>
      <c r="J93" s="7">
        <v>23394.98</v>
      </c>
    </row>
    <row r="94" spans="1:10" x14ac:dyDescent="0.3">
      <c r="A94" s="3">
        <v>45551</v>
      </c>
      <c r="B94" s="5">
        <v>9</v>
      </c>
      <c r="C94" s="5">
        <v>2024</v>
      </c>
      <c r="D94" s="5">
        <v>3</v>
      </c>
      <c r="E94" t="s">
        <v>14</v>
      </c>
      <c r="F94" t="s">
        <v>10</v>
      </c>
      <c r="G94" t="s">
        <v>57</v>
      </c>
      <c r="H94" t="s">
        <v>58</v>
      </c>
      <c r="I94" s="7">
        <v>31465.83</v>
      </c>
      <c r="J94" s="7">
        <v>30462.78</v>
      </c>
    </row>
    <row r="95" spans="1:10" x14ac:dyDescent="0.3">
      <c r="A95" s="3">
        <v>45551</v>
      </c>
      <c r="B95" s="5">
        <v>9</v>
      </c>
      <c r="C95" s="5">
        <v>2024</v>
      </c>
      <c r="D95" s="5">
        <v>3</v>
      </c>
      <c r="E95" t="s">
        <v>31</v>
      </c>
      <c r="F95" t="s">
        <v>10</v>
      </c>
      <c r="G95" t="s">
        <v>57</v>
      </c>
      <c r="H95" t="s">
        <v>68</v>
      </c>
      <c r="I95" s="7">
        <v>4185.32</v>
      </c>
      <c r="J95" s="7">
        <v>4040.83</v>
      </c>
    </row>
    <row r="96" spans="1:10" x14ac:dyDescent="0.3">
      <c r="A96" s="3">
        <v>45551</v>
      </c>
      <c r="B96" s="5">
        <v>9</v>
      </c>
      <c r="C96" s="5">
        <v>2024</v>
      </c>
      <c r="D96" s="5">
        <v>3</v>
      </c>
      <c r="E96" t="s">
        <v>34</v>
      </c>
      <c r="F96" t="s">
        <v>17</v>
      </c>
      <c r="G96" t="s">
        <v>74</v>
      </c>
      <c r="H96" t="s">
        <v>88</v>
      </c>
      <c r="I96" s="7">
        <v>-8662.2000000000007</v>
      </c>
    </row>
    <row r="97" spans="1:10" x14ac:dyDescent="0.3">
      <c r="A97" s="3">
        <v>45552</v>
      </c>
      <c r="B97" s="5">
        <v>9</v>
      </c>
      <c r="C97" s="5">
        <v>2024</v>
      </c>
      <c r="D97" s="5">
        <v>3</v>
      </c>
      <c r="E97" t="s">
        <v>34</v>
      </c>
      <c r="F97" t="s">
        <v>17</v>
      </c>
      <c r="G97" t="s">
        <v>40</v>
      </c>
      <c r="H97" t="s">
        <v>54</v>
      </c>
      <c r="I97" s="7">
        <v>-9723.01</v>
      </c>
    </row>
    <row r="98" spans="1:10" x14ac:dyDescent="0.3">
      <c r="A98" s="3">
        <v>45553</v>
      </c>
      <c r="B98" s="5">
        <v>9</v>
      </c>
      <c r="C98" s="5">
        <v>2024</v>
      </c>
      <c r="D98" s="5">
        <v>3</v>
      </c>
      <c r="E98" t="s">
        <v>37</v>
      </c>
      <c r="F98" t="s">
        <v>17</v>
      </c>
      <c r="G98" t="s">
        <v>15</v>
      </c>
      <c r="H98" t="s">
        <v>39</v>
      </c>
      <c r="I98" s="7">
        <v>-2984.29</v>
      </c>
    </row>
    <row r="99" spans="1:10" x14ac:dyDescent="0.3">
      <c r="A99" s="3">
        <v>45553</v>
      </c>
      <c r="B99" s="5">
        <v>9</v>
      </c>
      <c r="C99" s="5">
        <v>2024</v>
      </c>
      <c r="D99" s="5">
        <v>3</v>
      </c>
      <c r="E99" t="s">
        <v>14</v>
      </c>
      <c r="F99" t="s">
        <v>17</v>
      </c>
      <c r="G99" t="s">
        <v>40</v>
      </c>
      <c r="H99" t="s">
        <v>42</v>
      </c>
      <c r="I99" s="7">
        <v>-47616.34</v>
      </c>
    </row>
    <row r="100" spans="1:10" x14ac:dyDescent="0.3">
      <c r="A100" s="3">
        <v>45553</v>
      </c>
      <c r="B100" s="5">
        <v>9</v>
      </c>
      <c r="C100" s="5">
        <v>2024</v>
      </c>
      <c r="D100" s="5">
        <v>3</v>
      </c>
      <c r="E100" t="s">
        <v>25</v>
      </c>
      <c r="F100" t="s">
        <v>17</v>
      </c>
      <c r="G100" t="s">
        <v>57</v>
      </c>
      <c r="H100" t="s">
        <v>65</v>
      </c>
      <c r="I100" s="7">
        <v>-4338.05</v>
      </c>
    </row>
    <row r="101" spans="1:10" x14ac:dyDescent="0.3">
      <c r="A101" s="3">
        <v>45553</v>
      </c>
      <c r="B101" s="5">
        <v>9</v>
      </c>
      <c r="C101" s="5">
        <v>2024</v>
      </c>
      <c r="D101" s="5">
        <v>3</v>
      </c>
      <c r="E101" t="s">
        <v>28</v>
      </c>
      <c r="F101" t="s">
        <v>10</v>
      </c>
      <c r="G101" t="s">
        <v>57</v>
      </c>
      <c r="H101" t="s">
        <v>66</v>
      </c>
      <c r="I101" s="7">
        <v>18672.169999999998</v>
      </c>
      <c r="J101" s="7">
        <v>20493.349999999999</v>
      </c>
    </row>
    <row r="102" spans="1:10" x14ac:dyDescent="0.3">
      <c r="A102" s="3">
        <v>45553</v>
      </c>
      <c r="B102" s="5">
        <v>9</v>
      </c>
      <c r="C102" s="5">
        <v>2024</v>
      </c>
      <c r="D102" s="5">
        <v>3</v>
      </c>
      <c r="E102" t="s">
        <v>31</v>
      </c>
      <c r="F102" t="s">
        <v>17</v>
      </c>
      <c r="G102" t="s">
        <v>74</v>
      </c>
      <c r="H102" t="s">
        <v>86</v>
      </c>
      <c r="I102" s="7">
        <v>-5539.95</v>
      </c>
    </row>
    <row r="103" spans="1:10" x14ac:dyDescent="0.3">
      <c r="A103" s="3">
        <v>45554</v>
      </c>
      <c r="B103" s="5">
        <v>9</v>
      </c>
      <c r="C103" s="5">
        <v>2024</v>
      </c>
      <c r="D103" s="5">
        <v>3</v>
      </c>
      <c r="E103" t="s">
        <v>37</v>
      </c>
      <c r="F103" t="s">
        <v>10</v>
      </c>
      <c r="G103" t="s">
        <v>15</v>
      </c>
      <c r="H103" t="s">
        <v>38</v>
      </c>
      <c r="I103" s="7">
        <v>7129.76</v>
      </c>
      <c r="J103" s="7">
        <v>6679.88</v>
      </c>
    </row>
    <row r="104" spans="1:10" x14ac:dyDescent="0.3">
      <c r="A104" s="3">
        <v>45554</v>
      </c>
      <c r="B104" s="5">
        <v>9</v>
      </c>
      <c r="C104" s="5">
        <v>2024</v>
      </c>
      <c r="D104" s="5">
        <v>3</v>
      </c>
      <c r="E104" t="s">
        <v>34</v>
      </c>
      <c r="F104" t="s">
        <v>10</v>
      </c>
      <c r="G104" t="s">
        <v>40</v>
      </c>
      <c r="H104" t="s">
        <v>53</v>
      </c>
      <c r="I104" s="7">
        <v>12102.73</v>
      </c>
      <c r="J104" s="7">
        <v>12212.6</v>
      </c>
    </row>
    <row r="105" spans="1:10" x14ac:dyDescent="0.3">
      <c r="A105" s="3">
        <v>45555</v>
      </c>
      <c r="B105" s="5">
        <v>9</v>
      </c>
      <c r="C105" s="5">
        <v>2024</v>
      </c>
      <c r="D105" s="5">
        <v>3</v>
      </c>
      <c r="E105" t="s">
        <v>22</v>
      </c>
      <c r="F105" t="s">
        <v>10</v>
      </c>
      <c r="G105" t="s">
        <v>74</v>
      </c>
      <c r="H105" t="s">
        <v>79</v>
      </c>
      <c r="I105" s="7">
        <v>21036.240000000002</v>
      </c>
      <c r="J105" s="7">
        <v>20396.919999999998</v>
      </c>
    </row>
    <row r="106" spans="1:10" x14ac:dyDescent="0.3">
      <c r="A106" s="3">
        <v>45556</v>
      </c>
      <c r="B106" s="5">
        <v>9</v>
      </c>
      <c r="C106" s="5">
        <v>2024</v>
      </c>
      <c r="D106" s="5">
        <v>3</v>
      </c>
      <c r="E106" t="s">
        <v>28</v>
      </c>
      <c r="F106" t="s">
        <v>10</v>
      </c>
      <c r="G106" t="s">
        <v>15</v>
      </c>
      <c r="H106" t="s">
        <v>29</v>
      </c>
      <c r="I106" s="7">
        <v>14580.78</v>
      </c>
      <c r="J106" s="7">
        <v>14737.19</v>
      </c>
    </row>
    <row r="107" spans="1:10" x14ac:dyDescent="0.3">
      <c r="A107" s="3">
        <v>45556</v>
      </c>
      <c r="B107" s="5">
        <v>9</v>
      </c>
      <c r="C107" s="5">
        <v>2024</v>
      </c>
      <c r="D107" s="5">
        <v>3</v>
      </c>
      <c r="E107" t="s">
        <v>25</v>
      </c>
      <c r="F107" t="s">
        <v>10</v>
      </c>
      <c r="G107" t="s">
        <v>40</v>
      </c>
      <c r="H107" t="s">
        <v>47</v>
      </c>
      <c r="I107" s="7">
        <v>8660.35</v>
      </c>
      <c r="J107" s="7">
        <v>9167.2999999999993</v>
      </c>
    </row>
    <row r="108" spans="1:10" x14ac:dyDescent="0.3">
      <c r="A108" s="3">
        <v>45556</v>
      </c>
      <c r="B108" s="5">
        <v>9</v>
      </c>
      <c r="C108" s="5">
        <v>2024</v>
      </c>
      <c r="D108" s="5">
        <v>3</v>
      </c>
      <c r="E108" t="s">
        <v>34</v>
      </c>
      <c r="F108" t="s">
        <v>10</v>
      </c>
      <c r="G108" t="s">
        <v>57</v>
      </c>
      <c r="H108" t="s">
        <v>70</v>
      </c>
      <c r="I108" s="7">
        <v>9472.06</v>
      </c>
      <c r="J108" s="7">
        <v>9013.14</v>
      </c>
    </row>
    <row r="109" spans="1:10" x14ac:dyDescent="0.3">
      <c r="A109" s="3">
        <v>45557</v>
      </c>
      <c r="B109" s="5">
        <v>9</v>
      </c>
      <c r="C109" s="5">
        <v>2024</v>
      </c>
      <c r="D109" s="5">
        <v>3</v>
      </c>
      <c r="E109" t="s">
        <v>31</v>
      </c>
      <c r="F109" t="s">
        <v>17</v>
      </c>
      <c r="G109" t="s">
        <v>40</v>
      </c>
      <c r="H109" t="s">
        <v>52</v>
      </c>
      <c r="I109" s="7">
        <v>-3246.3</v>
      </c>
    </row>
    <row r="110" spans="1:10" x14ac:dyDescent="0.3">
      <c r="A110" s="3">
        <v>45557</v>
      </c>
      <c r="B110" s="5">
        <v>9</v>
      </c>
      <c r="C110" s="5">
        <v>2024</v>
      </c>
      <c r="D110" s="5">
        <v>3</v>
      </c>
      <c r="E110" t="s">
        <v>22</v>
      </c>
      <c r="F110" t="s">
        <v>10</v>
      </c>
      <c r="G110" t="s">
        <v>57</v>
      </c>
      <c r="H110" t="s">
        <v>62</v>
      </c>
      <c r="I110" s="7">
        <v>20644.810000000001</v>
      </c>
      <c r="J110" s="7">
        <v>22477.7</v>
      </c>
    </row>
    <row r="111" spans="1:10" x14ac:dyDescent="0.3">
      <c r="A111" s="3">
        <v>45557</v>
      </c>
      <c r="B111" s="5">
        <v>9</v>
      </c>
      <c r="C111" s="5">
        <v>2024</v>
      </c>
      <c r="D111" s="5">
        <v>3</v>
      </c>
      <c r="E111" t="s">
        <v>22</v>
      </c>
      <c r="F111" t="s">
        <v>17</v>
      </c>
      <c r="G111" t="s">
        <v>74</v>
      </c>
      <c r="H111" t="s">
        <v>80</v>
      </c>
      <c r="I111" s="7">
        <v>-9273.82</v>
      </c>
    </row>
    <row r="112" spans="1:10" x14ac:dyDescent="0.3">
      <c r="A112" s="3">
        <v>45558</v>
      </c>
      <c r="B112" s="5">
        <v>9</v>
      </c>
      <c r="C112" s="5">
        <v>2024</v>
      </c>
      <c r="D112" s="5">
        <v>3</v>
      </c>
      <c r="E112" t="s">
        <v>22</v>
      </c>
      <c r="F112" t="s">
        <v>10</v>
      </c>
      <c r="G112" t="s">
        <v>15</v>
      </c>
      <c r="H112" t="s">
        <v>23</v>
      </c>
      <c r="I112" s="7">
        <v>29905.64</v>
      </c>
      <c r="J112" s="7">
        <v>28518.57</v>
      </c>
    </row>
    <row r="113" spans="1:10" x14ac:dyDescent="0.3">
      <c r="A113" s="3">
        <v>45558</v>
      </c>
      <c r="B113" s="5">
        <v>9</v>
      </c>
      <c r="C113" s="5">
        <v>2024</v>
      </c>
      <c r="D113" s="5">
        <v>3</v>
      </c>
      <c r="E113" t="s">
        <v>25</v>
      </c>
      <c r="F113" t="s">
        <v>10</v>
      </c>
      <c r="G113" t="s">
        <v>15</v>
      </c>
      <c r="H113" t="s">
        <v>26</v>
      </c>
      <c r="I113" s="7">
        <v>10045.07</v>
      </c>
      <c r="J113" s="7">
        <v>10565.48</v>
      </c>
    </row>
    <row r="114" spans="1:10" x14ac:dyDescent="0.3">
      <c r="A114" s="3">
        <v>45558</v>
      </c>
      <c r="B114" s="5">
        <v>9</v>
      </c>
      <c r="C114" s="5">
        <v>2024</v>
      </c>
      <c r="D114" s="5">
        <v>3</v>
      </c>
      <c r="E114" t="s">
        <v>25</v>
      </c>
      <c r="F114" t="s">
        <v>17</v>
      </c>
      <c r="G114" t="s">
        <v>74</v>
      </c>
      <c r="H114" t="s">
        <v>82</v>
      </c>
      <c r="I114" s="7">
        <v>-8935.83</v>
      </c>
    </row>
    <row r="115" spans="1:10" x14ac:dyDescent="0.3">
      <c r="A115" s="3">
        <v>45559</v>
      </c>
      <c r="B115" s="5">
        <v>9</v>
      </c>
      <c r="C115" s="5">
        <v>2024</v>
      </c>
      <c r="D115" s="5">
        <v>3</v>
      </c>
      <c r="E115" t="s">
        <v>25</v>
      </c>
      <c r="F115" t="s">
        <v>17</v>
      </c>
      <c r="G115" t="s">
        <v>40</v>
      </c>
      <c r="H115" t="s">
        <v>48</v>
      </c>
      <c r="I115" s="7">
        <v>-3483.65</v>
      </c>
    </row>
    <row r="116" spans="1:10" x14ac:dyDescent="0.3">
      <c r="A116" s="3">
        <v>45559</v>
      </c>
      <c r="B116" s="5">
        <v>9</v>
      </c>
      <c r="C116" s="5">
        <v>2024</v>
      </c>
      <c r="D116" s="5">
        <v>3</v>
      </c>
      <c r="E116" t="s">
        <v>37</v>
      </c>
      <c r="F116" t="s">
        <v>10</v>
      </c>
      <c r="G116" t="s">
        <v>40</v>
      </c>
      <c r="H116" t="s">
        <v>55</v>
      </c>
      <c r="I116" s="7">
        <v>7146.52</v>
      </c>
      <c r="J116" s="7">
        <v>6823.9</v>
      </c>
    </row>
    <row r="117" spans="1:10" x14ac:dyDescent="0.3">
      <c r="A117" s="3">
        <v>45559</v>
      </c>
      <c r="B117" s="5">
        <v>9</v>
      </c>
      <c r="C117" s="5">
        <v>2024</v>
      </c>
      <c r="D117" s="5">
        <v>3</v>
      </c>
      <c r="E117" t="s">
        <v>19</v>
      </c>
      <c r="F117" t="s">
        <v>10</v>
      </c>
      <c r="G117" t="s">
        <v>57</v>
      </c>
      <c r="H117" t="s">
        <v>60</v>
      </c>
      <c r="I117" s="7">
        <v>21539.46</v>
      </c>
      <c r="J117" s="7">
        <v>22789.599999999999</v>
      </c>
    </row>
    <row r="118" spans="1:10" x14ac:dyDescent="0.3">
      <c r="A118" s="3">
        <v>45560</v>
      </c>
      <c r="B118" s="5">
        <v>9</v>
      </c>
      <c r="C118" s="5">
        <v>2024</v>
      </c>
      <c r="D118" s="5">
        <v>3</v>
      </c>
      <c r="E118" t="s">
        <v>31</v>
      </c>
      <c r="F118" t="s">
        <v>17</v>
      </c>
      <c r="G118" t="s">
        <v>15</v>
      </c>
      <c r="H118" t="s">
        <v>33</v>
      </c>
      <c r="I118" s="7">
        <v>-3908.6</v>
      </c>
    </row>
    <row r="119" spans="1:10" x14ac:dyDescent="0.3">
      <c r="A119" s="3">
        <v>45560</v>
      </c>
      <c r="B119" s="5">
        <v>9</v>
      </c>
      <c r="C119" s="5">
        <v>2024</v>
      </c>
      <c r="D119" s="5">
        <v>3</v>
      </c>
      <c r="E119" t="s">
        <v>28</v>
      </c>
      <c r="F119" t="s">
        <v>17</v>
      </c>
      <c r="G119" t="s">
        <v>74</v>
      </c>
      <c r="H119" t="s">
        <v>84</v>
      </c>
      <c r="I119" s="7">
        <v>-10795.57</v>
      </c>
    </row>
    <row r="120" spans="1:10" x14ac:dyDescent="0.3">
      <c r="A120" s="3">
        <v>45561</v>
      </c>
      <c r="B120" s="5">
        <v>9</v>
      </c>
      <c r="C120" s="5">
        <v>2024</v>
      </c>
      <c r="D120" s="5">
        <v>3</v>
      </c>
      <c r="E120" t="s">
        <v>19</v>
      </c>
      <c r="F120" t="s">
        <v>17</v>
      </c>
      <c r="G120" t="s">
        <v>15</v>
      </c>
      <c r="H120" t="s">
        <v>21</v>
      </c>
      <c r="I120" s="7">
        <v>-38858.81</v>
      </c>
    </row>
    <row r="121" spans="1:10" x14ac:dyDescent="0.3">
      <c r="A121" s="3">
        <v>45561</v>
      </c>
      <c r="B121" s="5">
        <v>9</v>
      </c>
      <c r="C121" s="5">
        <v>2024</v>
      </c>
      <c r="D121" s="5">
        <v>3</v>
      </c>
      <c r="E121" t="s">
        <v>31</v>
      </c>
      <c r="F121" t="s">
        <v>10</v>
      </c>
      <c r="G121" t="s">
        <v>15</v>
      </c>
      <c r="H121" t="s">
        <v>32</v>
      </c>
      <c r="I121" s="7">
        <v>5995.12</v>
      </c>
      <c r="J121" s="7">
        <v>6212.02</v>
      </c>
    </row>
    <row r="122" spans="1:10" x14ac:dyDescent="0.3">
      <c r="A122" s="3">
        <v>45561</v>
      </c>
      <c r="B122" s="5">
        <v>9</v>
      </c>
      <c r="C122" s="5">
        <v>2024</v>
      </c>
      <c r="D122" s="5">
        <v>3</v>
      </c>
      <c r="E122" t="s">
        <v>22</v>
      </c>
      <c r="F122" t="s">
        <v>10</v>
      </c>
      <c r="G122" t="s">
        <v>40</v>
      </c>
      <c r="H122" t="s">
        <v>45</v>
      </c>
      <c r="I122" s="7">
        <v>28596.41</v>
      </c>
      <c r="J122" s="7">
        <v>28141.919999999998</v>
      </c>
    </row>
    <row r="123" spans="1:10" x14ac:dyDescent="0.3">
      <c r="A123" s="3">
        <v>45561</v>
      </c>
      <c r="B123" s="5">
        <v>9</v>
      </c>
      <c r="C123" s="5">
        <v>2024</v>
      </c>
      <c r="D123" s="5">
        <v>3</v>
      </c>
      <c r="E123" t="s">
        <v>31</v>
      </c>
      <c r="F123" t="s">
        <v>10</v>
      </c>
      <c r="G123" t="s">
        <v>74</v>
      </c>
      <c r="H123" t="s">
        <v>85</v>
      </c>
      <c r="I123" s="7">
        <v>3870.38</v>
      </c>
      <c r="J123" s="7">
        <v>3997.69</v>
      </c>
    </row>
    <row r="124" spans="1:10" x14ac:dyDescent="0.3">
      <c r="A124" s="3">
        <v>45562</v>
      </c>
      <c r="B124" s="5">
        <v>9</v>
      </c>
      <c r="C124" s="5">
        <v>2024</v>
      </c>
      <c r="D124" s="5">
        <v>3</v>
      </c>
      <c r="E124" t="s">
        <v>28</v>
      </c>
      <c r="F124" t="s">
        <v>10</v>
      </c>
      <c r="G124" t="s">
        <v>74</v>
      </c>
      <c r="H124" t="s">
        <v>83</v>
      </c>
      <c r="I124" s="7">
        <v>15755.21</v>
      </c>
      <c r="J124" s="7">
        <v>15799.19</v>
      </c>
    </row>
    <row r="125" spans="1:10" x14ac:dyDescent="0.3">
      <c r="A125" s="3">
        <v>45563</v>
      </c>
      <c r="B125" s="5">
        <v>9</v>
      </c>
      <c r="C125" s="5">
        <v>2024</v>
      </c>
      <c r="D125" s="5">
        <v>3</v>
      </c>
      <c r="E125" t="s">
        <v>14</v>
      </c>
      <c r="F125" t="s">
        <v>17</v>
      </c>
      <c r="G125" t="s">
        <v>15</v>
      </c>
      <c r="H125" t="s">
        <v>18</v>
      </c>
      <c r="I125" s="7">
        <v>-28236.3</v>
      </c>
    </row>
    <row r="126" spans="1:10" x14ac:dyDescent="0.3">
      <c r="A126" s="3">
        <v>45563</v>
      </c>
      <c r="B126" s="5">
        <v>9</v>
      </c>
      <c r="C126" s="5">
        <v>2024</v>
      </c>
      <c r="D126" s="5">
        <v>3</v>
      </c>
      <c r="E126" t="s">
        <v>34</v>
      </c>
      <c r="F126" t="s">
        <v>10</v>
      </c>
      <c r="G126" t="s">
        <v>15</v>
      </c>
      <c r="H126" t="s">
        <v>35</v>
      </c>
      <c r="I126" s="7">
        <v>10778.69</v>
      </c>
      <c r="J126" s="7">
        <v>10913.01</v>
      </c>
    </row>
    <row r="127" spans="1:10" x14ac:dyDescent="0.3">
      <c r="A127" s="3">
        <v>45563</v>
      </c>
      <c r="B127" s="5">
        <v>9</v>
      </c>
      <c r="C127" s="5">
        <v>2024</v>
      </c>
      <c r="D127" s="5">
        <v>3</v>
      </c>
      <c r="E127" t="s">
        <v>37</v>
      </c>
      <c r="F127" t="s">
        <v>17</v>
      </c>
      <c r="G127" t="s">
        <v>57</v>
      </c>
      <c r="H127" t="s">
        <v>73</v>
      </c>
      <c r="I127" s="7">
        <v>-8638.94</v>
      </c>
    </row>
    <row r="128" spans="1:10" x14ac:dyDescent="0.3">
      <c r="A128" s="3">
        <v>45564</v>
      </c>
      <c r="B128" s="5">
        <v>9</v>
      </c>
      <c r="C128" s="5">
        <v>2024</v>
      </c>
      <c r="D128" s="5">
        <v>3</v>
      </c>
      <c r="E128" t="s">
        <v>14</v>
      </c>
      <c r="F128" t="s">
        <v>10</v>
      </c>
      <c r="G128" t="s">
        <v>40</v>
      </c>
      <c r="H128" t="s">
        <v>41</v>
      </c>
      <c r="I128" s="7">
        <v>33368.769999999997</v>
      </c>
      <c r="J128" s="7">
        <v>32937.57</v>
      </c>
    </row>
    <row r="129" spans="1:10" x14ac:dyDescent="0.3">
      <c r="A129" s="3">
        <v>45564</v>
      </c>
      <c r="B129" s="5">
        <v>9</v>
      </c>
      <c r="C129" s="5">
        <v>2024</v>
      </c>
      <c r="D129" s="5">
        <v>3</v>
      </c>
      <c r="E129" t="s">
        <v>14</v>
      </c>
      <c r="F129" t="s">
        <v>17</v>
      </c>
      <c r="G129" t="s">
        <v>74</v>
      </c>
      <c r="H129" t="s">
        <v>76</v>
      </c>
      <c r="I129" s="7">
        <v>-19195.41</v>
      </c>
    </row>
    <row r="130" spans="1:10" x14ac:dyDescent="0.3">
      <c r="A130" s="3">
        <v>45566</v>
      </c>
      <c r="B130" s="5">
        <v>10</v>
      </c>
      <c r="C130" s="5">
        <v>2024</v>
      </c>
      <c r="D130" s="5">
        <v>4</v>
      </c>
      <c r="E130" t="s">
        <v>28</v>
      </c>
      <c r="F130" t="s">
        <v>10</v>
      </c>
      <c r="G130" t="s">
        <v>40</v>
      </c>
      <c r="H130" t="s">
        <v>49</v>
      </c>
      <c r="I130" s="7">
        <v>15139.73</v>
      </c>
      <c r="J130" s="7">
        <v>14088.81</v>
      </c>
    </row>
    <row r="131" spans="1:10" x14ac:dyDescent="0.3">
      <c r="A131" s="3">
        <v>45567</v>
      </c>
      <c r="B131" s="5">
        <v>10</v>
      </c>
      <c r="C131" s="5">
        <v>2024</v>
      </c>
      <c r="D131" s="5">
        <v>4</v>
      </c>
      <c r="E131" t="s">
        <v>25</v>
      </c>
      <c r="F131" t="s">
        <v>17</v>
      </c>
      <c r="G131" t="s">
        <v>74</v>
      </c>
      <c r="H131" t="s">
        <v>82</v>
      </c>
      <c r="I131" s="7">
        <v>-7844.79</v>
      </c>
    </row>
    <row r="132" spans="1:10" x14ac:dyDescent="0.3">
      <c r="A132" s="3">
        <v>45568</v>
      </c>
      <c r="B132" s="5">
        <v>10</v>
      </c>
      <c r="C132" s="5">
        <v>2024</v>
      </c>
      <c r="D132" s="5">
        <v>4</v>
      </c>
      <c r="E132" t="s">
        <v>19</v>
      </c>
      <c r="F132" t="s">
        <v>10</v>
      </c>
      <c r="G132" t="s">
        <v>15</v>
      </c>
      <c r="H132" t="s">
        <v>20</v>
      </c>
      <c r="I132" s="7">
        <v>24966.91</v>
      </c>
      <c r="J132" s="7">
        <v>23899.94</v>
      </c>
    </row>
    <row r="133" spans="1:10" x14ac:dyDescent="0.3">
      <c r="A133" s="3">
        <v>45568</v>
      </c>
      <c r="B133" s="5">
        <v>10</v>
      </c>
      <c r="C133" s="5">
        <v>2024</v>
      </c>
      <c r="D133" s="5">
        <v>4</v>
      </c>
      <c r="E133" t="s">
        <v>22</v>
      </c>
      <c r="F133" t="s">
        <v>17</v>
      </c>
      <c r="G133" t="s">
        <v>57</v>
      </c>
      <c r="H133" t="s">
        <v>63</v>
      </c>
      <c r="I133" s="7">
        <v>-15671.14</v>
      </c>
    </row>
    <row r="134" spans="1:10" x14ac:dyDescent="0.3">
      <c r="A134" s="3">
        <v>45569</v>
      </c>
      <c r="B134" s="5">
        <v>10</v>
      </c>
      <c r="C134" s="5">
        <v>2024</v>
      </c>
      <c r="D134" s="5">
        <v>4</v>
      </c>
      <c r="E134" t="s">
        <v>22</v>
      </c>
      <c r="F134" t="s">
        <v>17</v>
      </c>
      <c r="G134" t="s">
        <v>40</v>
      </c>
      <c r="H134" t="s">
        <v>46</v>
      </c>
      <c r="I134" s="7">
        <v>-15008.79</v>
      </c>
    </row>
    <row r="135" spans="1:10" x14ac:dyDescent="0.3">
      <c r="A135" s="3">
        <v>45569</v>
      </c>
      <c r="B135" s="5">
        <v>10</v>
      </c>
      <c r="C135" s="5">
        <v>2024</v>
      </c>
      <c r="D135" s="5">
        <v>4</v>
      </c>
      <c r="E135" t="s">
        <v>28</v>
      </c>
      <c r="F135" t="s">
        <v>17</v>
      </c>
      <c r="G135" t="s">
        <v>40</v>
      </c>
      <c r="H135" t="s">
        <v>50</v>
      </c>
      <c r="I135" s="7">
        <v>-17172.439999999999</v>
      </c>
    </row>
    <row r="136" spans="1:10" x14ac:dyDescent="0.3">
      <c r="A136" s="3">
        <v>45569</v>
      </c>
      <c r="B136" s="5">
        <v>10</v>
      </c>
      <c r="C136" s="5">
        <v>2024</v>
      </c>
      <c r="D136" s="5">
        <v>4</v>
      </c>
      <c r="E136" t="s">
        <v>34</v>
      </c>
      <c r="F136" t="s">
        <v>17</v>
      </c>
      <c r="G136" t="s">
        <v>57</v>
      </c>
      <c r="H136" t="s">
        <v>71</v>
      </c>
      <c r="I136" s="7">
        <v>-9326.77</v>
      </c>
    </row>
    <row r="137" spans="1:10" x14ac:dyDescent="0.3">
      <c r="A137" s="3">
        <v>45570</v>
      </c>
      <c r="B137" s="5">
        <v>10</v>
      </c>
      <c r="C137" s="5">
        <v>2024</v>
      </c>
      <c r="D137" s="5">
        <v>4</v>
      </c>
      <c r="E137" t="s">
        <v>34</v>
      </c>
      <c r="F137" t="s">
        <v>10</v>
      </c>
      <c r="G137" t="s">
        <v>40</v>
      </c>
      <c r="H137" t="s">
        <v>53</v>
      </c>
      <c r="I137" s="7">
        <v>12515.02</v>
      </c>
      <c r="J137" s="7">
        <v>12618.68</v>
      </c>
    </row>
    <row r="138" spans="1:10" x14ac:dyDescent="0.3">
      <c r="A138" s="3">
        <v>45570</v>
      </c>
      <c r="B138" s="5">
        <v>10</v>
      </c>
      <c r="C138" s="5">
        <v>2024</v>
      </c>
      <c r="D138" s="5">
        <v>4</v>
      </c>
      <c r="E138" t="s">
        <v>37</v>
      </c>
      <c r="F138" t="s">
        <v>10</v>
      </c>
      <c r="G138" t="s">
        <v>57</v>
      </c>
      <c r="H138" t="s">
        <v>72</v>
      </c>
      <c r="I138" s="7">
        <v>7267.35</v>
      </c>
      <c r="J138" s="7">
        <v>7207.48</v>
      </c>
    </row>
    <row r="139" spans="1:10" x14ac:dyDescent="0.3">
      <c r="A139" s="3">
        <v>45571</v>
      </c>
      <c r="B139" s="5">
        <v>10</v>
      </c>
      <c r="C139" s="5">
        <v>2024</v>
      </c>
      <c r="D139" s="5">
        <v>4</v>
      </c>
      <c r="E139" t="s">
        <v>19</v>
      </c>
      <c r="F139" t="s">
        <v>10</v>
      </c>
      <c r="G139" t="s">
        <v>40</v>
      </c>
      <c r="H139" t="s">
        <v>43</v>
      </c>
      <c r="I139" s="7">
        <v>19800.169999999998</v>
      </c>
      <c r="J139" s="7">
        <v>19554.689999999999</v>
      </c>
    </row>
    <row r="140" spans="1:10" x14ac:dyDescent="0.3">
      <c r="A140" s="3">
        <v>45571</v>
      </c>
      <c r="B140" s="5">
        <v>10</v>
      </c>
      <c r="C140" s="5">
        <v>2024</v>
      </c>
      <c r="D140" s="5">
        <v>4</v>
      </c>
      <c r="E140" t="s">
        <v>37</v>
      </c>
      <c r="F140" t="s">
        <v>17</v>
      </c>
      <c r="G140" t="s">
        <v>57</v>
      </c>
      <c r="H140" t="s">
        <v>73</v>
      </c>
      <c r="I140" s="7">
        <v>-9800.2999999999993</v>
      </c>
    </row>
    <row r="141" spans="1:10" x14ac:dyDescent="0.3">
      <c r="A141" s="3">
        <v>45571</v>
      </c>
      <c r="B141" s="5">
        <v>10</v>
      </c>
      <c r="C141" s="5">
        <v>2024</v>
      </c>
      <c r="D141" s="5">
        <v>4</v>
      </c>
      <c r="E141" t="s">
        <v>14</v>
      </c>
      <c r="F141" t="s">
        <v>10</v>
      </c>
      <c r="G141" t="s">
        <v>74</v>
      </c>
      <c r="H141" t="s">
        <v>75</v>
      </c>
      <c r="I141" s="7">
        <v>25768.77</v>
      </c>
      <c r="J141" s="7">
        <v>26887.54</v>
      </c>
    </row>
    <row r="142" spans="1:10" x14ac:dyDescent="0.3">
      <c r="A142" s="3">
        <v>45572</v>
      </c>
      <c r="B142" s="5">
        <v>10</v>
      </c>
      <c r="C142" s="5">
        <v>2024</v>
      </c>
      <c r="D142" s="5">
        <v>4</v>
      </c>
      <c r="E142" t="s">
        <v>28</v>
      </c>
      <c r="F142" t="s">
        <v>17</v>
      </c>
      <c r="G142" t="s">
        <v>15</v>
      </c>
      <c r="H142" t="s">
        <v>30</v>
      </c>
      <c r="I142" s="7">
        <v>-17214.45</v>
      </c>
    </row>
    <row r="143" spans="1:10" x14ac:dyDescent="0.3">
      <c r="A143" s="3">
        <v>45572</v>
      </c>
      <c r="B143" s="5">
        <v>10</v>
      </c>
      <c r="C143" s="5">
        <v>2024</v>
      </c>
      <c r="D143" s="5">
        <v>4</v>
      </c>
      <c r="E143" t="s">
        <v>34</v>
      </c>
      <c r="F143" t="s">
        <v>10</v>
      </c>
      <c r="G143" t="s">
        <v>74</v>
      </c>
      <c r="H143" t="s">
        <v>87</v>
      </c>
      <c r="I143" s="7">
        <v>12803.99</v>
      </c>
      <c r="J143" s="7">
        <v>12082.71</v>
      </c>
    </row>
    <row r="144" spans="1:10" x14ac:dyDescent="0.3">
      <c r="A144" s="3">
        <v>45573</v>
      </c>
      <c r="B144" s="5">
        <v>10</v>
      </c>
      <c r="C144" s="5">
        <v>2024</v>
      </c>
      <c r="D144" s="5">
        <v>4</v>
      </c>
      <c r="E144" t="s">
        <v>28</v>
      </c>
      <c r="F144" t="s">
        <v>10</v>
      </c>
      <c r="G144" t="s">
        <v>15</v>
      </c>
      <c r="H144" t="s">
        <v>29</v>
      </c>
      <c r="I144" s="7">
        <v>21553.91</v>
      </c>
      <c r="J144" s="7">
        <v>20867.18</v>
      </c>
    </row>
    <row r="145" spans="1:10" x14ac:dyDescent="0.3">
      <c r="A145" s="3">
        <v>45573</v>
      </c>
      <c r="B145" s="5">
        <v>10</v>
      </c>
      <c r="C145" s="5">
        <v>2024</v>
      </c>
      <c r="D145" s="5">
        <v>4</v>
      </c>
      <c r="E145" t="s">
        <v>14</v>
      </c>
      <c r="F145" t="s">
        <v>10</v>
      </c>
      <c r="G145" t="s">
        <v>40</v>
      </c>
      <c r="H145" t="s">
        <v>41</v>
      </c>
      <c r="I145" s="7">
        <v>25641.96</v>
      </c>
      <c r="J145" s="7">
        <v>26860.43</v>
      </c>
    </row>
    <row r="146" spans="1:10" x14ac:dyDescent="0.3">
      <c r="A146" s="3">
        <v>45573</v>
      </c>
      <c r="B146" s="5">
        <v>10</v>
      </c>
      <c r="C146" s="5">
        <v>2024</v>
      </c>
      <c r="D146" s="5">
        <v>4</v>
      </c>
      <c r="E146" t="s">
        <v>22</v>
      </c>
      <c r="F146" t="s">
        <v>10</v>
      </c>
      <c r="G146" t="s">
        <v>40</v>
      </c>
      <c r="H146" t="s">
        <v>45</v>
      </c>
      <c r="I146" s="7">
        <v>28201.05</v>
      </c>
      <c r="J146" s="7">
        <v>30215.59</v>
      </c>
    </row>
    <row r="147" spans="1:10" x14ac:dyDescent="0.3">
      <c r="A147" s="3">
        <v>45574</v>
      </c>
      <c r="B147" s="5">
        <v>10</v>
      </c>
      <c r="C147" s="5">
        <v>2024</v>
      </c>
      <c r="D147" s="5">
        <v>4</v>
      </c>
      <c r="E147" t="s">
        <v>14</v>
      </c>
      <c r="F147" t="s">
        <v>17</v>
      </c>
      <c r="G147" t="s">
        <v>15</v>
      </c>
      <c r="H147" t="s">
        <v>18</v>
      </c>
      <c r="I147" s="7">
        <v>-9964.42</v>
      </c>
    </row>
    <row r="148" spans="1:10" x14ac:dyDescent="0.3">
      <c r="A148" s="3">
        <v>45574</v>
      </c>
      <c r="B148" s="5">
        <v>10</v>
      </c>
      <c r="C148" s="5">
        <v>2024</v>
      </c>
      <c r="D148" s="5">
        <v>4</v>
      </c>
      <c r="E148" t="s">
        <v>22</v>
      </c>
      <c r="F148" t="s">
        <v>17</v>
      </c>
      <c r="G148" t="s">
        <v>15</v>
      </c>
      <c r="H148" t="s">
        <v>24</v>
      </c>
      <c r="I148" s="7">
        <v>-34163.449999999997</v>
      </c>
    </row>
    <row r="149" spans="1:10" x14ac:dyDescent="0.3">
      <c r="A149" s="3">
        <v>45574</v>
      </c>
      <c r="B149" s="5">
        <v>10</v>
      </c>
      <c r="C149" s="5">
        <v>2024</v>
      </c>
      <c r="D149" s="5">
        <v>4</v>
      </c>
      <c r="E149" t="s">
        <v>25</v>
      </c>
      <c r="F149" t="s">
        <v>10</v>
      </c>
      <c r="G149" t="s">
        <v>15</v>
      </c>
      <c r="H149" t="s">
        <v>26</v>
      </c>
      <c r="I149" s="7">
        <v>11381.21</v>
      </c>
      <c r="J149" s="7">
        <v>10926.1</v>
      </c>
    </row>
    <row r="150" spans="1:10" x14ac:dyDescent="0.3">
      <c r="A150" s="3">
        <v>45574</v>
      </c>
      <c r="B150" s="5">
        <v>10</v>
      </c>
      <c r="C150" s="5">
        <v>2024</v>
      </c>
      <c r="D150" s="5">
        <v>4</v>
      </c>
      <c r="E150" t="s">
        <v>28</v>
      </c>
      <c r="F150" t="s">
        <v>17</v>
      </c>
      <c r="G150" t="s">
        <v>74</v>
      </c>
      <c r="H150" t="s">
        <v>84</v>
      </c>
      <c r="I150" s="7">
        <v>-10250.36</v>
      </c>
    </row>
    <row r="151" spans="1:10" x14ac:dyDescent="0.3">
      <c r="A151" s="3">
        <v>45576</v>
      </c>
      <c r="B151" s="5">
        <v>10</v>
      </c>
      <c r="C151" s="5">
        <v>2024</v>
      </c>
      <c r="D151" s="5">
        <v>4</v>
      </c>
      <c r="E151" t="s">
        <v>25</v>
      </c>
      <c r="F151" t="s">
        <v>17</v>
      </c>
      <c r="G151" t="s">
        <v>40</v>
      </c>
      <c r="H151" t="s">
        <v>48</v>
      </c>
      <c r="I151" s="7">
        <v>-3707.06</v>
      </c>
    </row>
    <row r="152" spans="1:10" x14ac:dyDescent="0.3">
      <c r="A152" s="3">
        <v>45576</v>
      </c>
      <c r="B152" s="5">
        <v>10</v>
      </c>
      <c r="C152" s="5">
        <v>2024</v>
      </c>
      <c r="D152" s="5">
        <v>4</v>
      </c>
      <c r="E152" t="s">
        <v>22</v>
      </c>
      <c r="F152" t="s">
        <v>10</v>
      </c>
      <c r="G152" t="s">
        <v>57</v>
      </c>
      <c r="H152" t="s">
        <v>62</v>
      </c>
      <c r="I152" s="7">
        <v>27075.93</v>
      </c>
      <c r="J152" s="7">
        <v>29047.95</v>
      </c>
    </row>
    <row r="153" spans="1:10" x14ac:dyDescent="0.3">
      <c r="A153" s="3">
        <v>45577</v>
      </c>
      <c r="B153" s="5">
        <v>10</v>
      </c>
      <c r="C153" s="5">
        <v>2024</v>
      </c>
      <c r="D153" s="5">
        <v>4</v>
      </c>
      <c r="E153" t="s">
        <v>22</v>
      </c>
      <c r="F153" t="s">
        <v>10</v>
      </c>
      <c r="G153" t="s">
        <v>15</v>
      </c>
      <c r="H153" t="s">
        <v>23</v>
      </c>
      <c r="I153" s="7">
        <v>26760.45</v>
      </c>
      <c r="J153" s="7">
        <v>29140.53</v>
      </c>
    </row>
    <row r="154" spans="1:10" x14ac:dyDescent="0.3">
      <c r="A154" s="3">
        <v>45577</v>
      </c>
      <c r="B154" s="5">
        <v>10</v>
      </c>
      <c r="C154" s="5">
        <v>2024</v>
      </c>
      <c r="D154" s="5">
        <v>4</v>
      </c>
      <c r="E154" t="s">
        <v>31</v>
      </c>
      <c r="F154" t="s">
        <v>10</v>
      </c>
      <c r="G154" t="s">
        <v>40</v>
      </c>
      <c r="H154" t="s">
        <v>51</v>
      </c>
      <c r="I154" s="7">
        <v>5508.72</v>
      </c>
      <c r="J154" s="7">
        <v>5410.78</v>
      </c>
    </row>
    <row r="155" spans="1:10" x14ac:dyDescent="0.3">
      <c r="A155" s="3">
        <v>45577</v>
      </c>
      <c r="B155" s="5">
        <v>10</v>
      </c>
      <c r="C155" s="5">
        <v>2024</v>
      </c>
      <c r="D155" s="5">
        <v>4</v>
      </c>
      <c r="E155" t="s">
        <v>19</v>
      </c>
      <c r="F155" t="s">
        <v>17</v>
      </c>
      <c r="G155" t="s">
        <v>74</v>
      </c>
      <c r="H155" t="s">
        <v>78</v>
      </c>
      <c r="I155" s="7">
        <v>-27766.71</v>
      </c>
    </row>
    <row r="156" spans="1:10" x14ac:dyDescent="0.3">
      <c r="A156" s="3">
        <v>45578</v>
      </c>
      <c r="B156" s="5">
        <v>10</v>
      </c>
      <c r="C156" s="5">
        <v>2024</v>
      </c>
      <c r="D156" s="5">
        <v>4</v>
      </c>
      <c r="E156" t="s">
        <v>31</v>
      </c>
      <c r="F156" t="s">
        <v>17</v>
      </c>
      <c r="G156" t="s">
        <v>40</v>
      </c>
      <c r="H156" t="s">
        <v>52</v>
      </c>
      <c r="I156" s="7">
        <v>-6820.91</v>
      </c>
    </row>
    <row r="157" spans="1:10" x14ac:dyDescent="0.3">
      <c r="A157" s="3">
        <v>45578</v>
      </c>
      <c r="B157" s="5">
        <v>10</v>
      </c>
      <c r="C157" s="5">
        <v>2024</v>
      </c>
      <c r="D157" s="5">
        <v>4</v>
      </c>
      <c r="E157" t="s">
        <v>25</v>
      </c>
      <c r="F157" t="s">
        <v>17</v>
      </c>
      <c r="G157" t="s">
        <v>57</v>
      </c>
      <c r="H157" t="s">
        <v>65</v>
      </c>
      <c r="I157" s="7">
        <v>-4644.1099999999997</v>
      </c>
    </row>
    <row r="158" spans="1:10" x14ac:dyDescent="0.3">
      <c r="A158" s="3">
        <v>45579</v>
      </c>
      <c r="B158" s="5">
        <v>10</v>
      </c>
      <c r="C158" s="5">
        <v>2024</v>
      </c>
      <c r="D158" s="5">
        <v>4</v>
      </c>
      <c r="E158" t="s">
        <v>25</v>
      </c>
      <c r="F158" t="s">
        <v>17</v>
      </c>
      <c r="G158" t="s">
        <v>15</v>
      </c>
      <c r="H158" t="s">
        <v>27</v>
      </c>
      <c r="I158" s="7">
        <v>-6442.09</v>
      </c>
    </row>
    <row r="159" spans="1:10" x14ac:dyDescent="0.3">
      <c r="A159" s="3">
        <v>45579</v>
      </c>
      <c r="B159" s="5">
        <v>10</v>
      </c>
      <c r="C159" s="5">
        <v>2024</v>
      </c>
      <c r="D159" s="5">
        <v>4</v>
      </c>
      <c r="E159" t="s">
        <v>31</v>
      </c>
      <c r="F159" t="s">
        <v>17</v>
      </c>
      <c r="G159" t="s">
        <v>15</v>
      </c>
      <c r="H159" t="s">
        <v>33</v>
      </c>
      <c r="I159" s="7">
        <v>-5481.05</v>
      </c>
    </row>
    <row r="160" spans="1:10" x14ac:dyDescent="0.3">
      <c r="A160" s="3">
        <v>45579</v>
      </c>
      <c r="B160" s="5">
        <v>10</v>
      </c>
      <c r="C160" s="5">
        <v>2024</v>
      </c>
      <c r="D160" s="5">
        <v>4</v>
      </c>
      <c r="E160" t="s">
        <v>37</v>
      </c>
      <c r="F160" t="s">
        <v>10</v>
      </c>
      <c r="G160" t="s">
        <v>40</v>
      </c>
      <c r="H160" t="s">
        <v>55</v>
      </c>
      <c r="I160" s="7">
        <v>5560.09</v>
      </c>
      <c r="J160" s="7">
        <v>5480.16</v>
      </c>
    </row>
    <row r="161" spans="1:10" x14ac:dyDescent="0.3">
      <c r="A161" s="3">
        <v>45581</v>
      </c>
      <c r="B161" s="5">
        <v>10</v>
      </c>
      <c r="C161" s="5">
        <v>2024</v>
      </c>
      <c r="D161" s="5">
        <v>4</v>
      </c>
      <c r="E161" t="s">
        <v>19</v>
      </c>
      <c r="F161" t="s">
        <v>17</v>
      </c>
      <c r="G161" t="s">
        <v>40</v>
      </c>
      <c r="H161" t="s">
        <v>44</v>
      </c>
      <c r="I161" s="7">
        <v>-26235.97</v>
      </c>
    </row>
    <row r="162" spans="1:10" x14ac:dyDescent="0.3">
      <c r="A162" s="3">
        <v>45581</v>
      </c>
      <c r="B162" s="5">
        <v>10</v>
      </c>
      <c r="C162" s="5">
        <v>2024</v>
      </c>
      <c r="D162" s="5">
        <v>4</v>
      </c>
      <c r="E162" t="s">
        <v>31</v>
      </c>
      <c r="F162" t="s">
        <v>17</v>
      </c>
      <c r="G162" t="s">
        <v>74</v>
      </c>
      <c r="H162" t="s">
        <v>86</v>
      </c>
      <c r="I162" s="7">
        <v>-3492.12</v>
      </c>
    </row>
    <row r="163" spans="1:10" x14ac:dyDescent="0.3">
      <c r="A163" s="3">
        <v>45582</v>
      </c>
      <c r="B163" s="5">
        <v>10</v>
      </c>
      <c r="C163" s="5">
        <v>2024</v>
      </c>
      <c r="D163" s="5">
        <v>4</v>
      </c>
      <c r="E163" t="s">
        <v>14</v>
      </c>
      <c r="F163" t="s">
        <v>17</v>
      </c>
      <c r="G163" t="s">
        <v>40</v>
      </c>
      <c r="H163" t="s">
        <v>42</v>
      </c>
      <c r="I163" s="7">
        <v>-11991.05</v>
      </c>
    </row>
    <row r="164" spans="1:10" x14ac:dyDescent="0.3">
      <c r="A164" s="3">
        <v>45583</v>
      </c>
      <c r="B164" s="5">
        <v>10</v>
      </c>
      <c r="C164" s="5">
        <v>2024</v>
      </c>
      <c r="D164" s="5">
        <v>4</v>
      </c>
      <c r="E164" t="s">
        <v>19</v>
      </c>
      <c r="F164" t="s">
        <v>10</v>
      </c>
      <c r="G164" t="s">
        <v>74</v>
      </c>
      <c r="H164" t="s">
        <v>77</v>
      </c>
      <c r="I164" s="7">
        <v>21041.54</v>
      </c>
      <c r="J164" s="7">
        <v>20297.63</v>
      </c>
    </row>
    <row r="165" spans="1:10" x14ac:dyDescent="0.3">
      <c r="A165" s="3">
        <v>45583</v>
      </c>
      <c r="B165" s="5">
        <v>10</v>
      </c>
      <c r="C165" s="5">
        <v>2024</v>
      </c>
      <c r="D165" s="5">
        <v>4</v>
      </c>
      <c r="E165" t="s">
        <v>37</v>
      </c>
      <c r="F165" t="s">
        <v>10</v>
      </c>
      <c r="G165" t="s">
        <v>74</v>
      </c>
      <c r="H165" t="s">
        <v>89</v>
      </c>
      <c r="I165" s="7">
        <v>6993.53</v>
      </c>
      <c r="J165" s="7">
        <v>6896.3</v>
      </c>
    </row>
    <row r="166" spans="1:10" x14ac:dyDescent="0.3">
      <c r="A166" s="3">
        <v>45584</v>
      </c>
      <c r="B166" s="5">
        <v>10</v>
      </c>
      <c r="C166" s="5">
        <v>2024</v>
      </c>
      <c r="D166" s="5">
        <v>4</v>
      </c>
      <c r="E166" t="s">
        <v>28</v>
      </c>
      <c r="F166" t="s">
        <v>10</v>
      </c>
      <c r="G166" t="s">
        <v>57</v>
      </c>
      <c r="H166" t="s">
        <v>66</v>
      </c>
      <c r="I166" s="7">
        <v>16395.43</v>
      </c>
      <c r="J166" s="7">
        <v>15870.42</v>
      </c>
    </row>
    <row r="167" spans="1:10" x14ac:dyDescent="0.3">
      <c r="A167" s="3">
        <v>45584</v>
      </c>
      <c r="B167" s="5">
        <v>10</v>
      </c>
      <c r="C167" s="5">
        <v>2024</v>
      </c>
      <c r="D167" s="5">
        <v>4</v>
      </c>
      <c r="E167" t="s">
        <v>31</v>
      </c>
      <c r="F167" t="s">
        <v>17</v>
      </c>
      <c r="G167" t="s">
        <v>57</v>
      </c>
      <c r="H167" t="s">
        <v>69</v>
      </c>
      <c r="I167" s="7">
        <v>-3272.64</v>
      </c>
    </row>
    <row r="168" spans="1:10" x14ac:dyDescent="0.3">
      <c r="A168" s="3">
        <v>45584</v>
      </c>
      <c r="B168" s="5">
        <v>10</v>
      </c>
      <c r="C168" s="5">
        <v>2024</v>
      </c>
      <c r="D168" s="5">
        <v>4</v>
      </c>
      <c r="E168" t="s">
        <v>34</v>
      </c>
      <c r="F168" t="s">
        <v>10</v>
      </c>
      <c r="G168" t="s">
        <v>57</v>
      </c>
      <c r="H168" t="s">
        <v>70</v>
      </c>
      <c r="I168" s="7">
        <v>12506.04</v>
      </c>
      <c r="J168" s="7">
        <v>12769.12</v>
      </c>
    </row>
    <row r="169" spans="1:10" x14ac:dyDescent="0.3">
      <c r="A169" s="3">
        <v>45584</v>
      </c>
      <c r="B169" s="5">
        <v>10</v>
      </c>
      <c r="C169" s="5">
        <v>2024</v>
      </c>
      <c r="D169" s="5">
        <v>4</v>
      </c>
      <c r="E169" t="s">
        <v>31</v>
      </c>
      <c r="F169" t="s">
        <v>10</v>
      </c>
      <c r="G169" t="s">
        <v>74</v>
      </c>
      <c r="H169" t="s">
        <v>85</v>
      </c>
      <c r="I169" s="7">
        <v>4396.3100000000004</v>
      </c>
      <c r="J169" s="7">
        <v>4692.26</v>
      </c>
    </row>
    <row r="170" spans="1:10" x14ac:dyDescent="0.3">
      <c r="A170" s="3">
        <v>45585</v>
      </c>
      <c r="B170" s="5">
        <v>10</v>
      </c>
      <c r="C170" s="5">
        <v>2024</v>
      </c>
      <c r="D170" s="5">
        <v>4</v>
      </c>
      <c r="E170" t="s">
        <v>34</v>
      </c>
      <c r="F170" t="s">
        <v>17</v>
      </c>
      <c r="G170" t="s">
        <v>74</v>
      </c>
      <c r="H170" t="s">
        <v>88</v>
      </c>
      <c r="I170" s="7">
        <v>-9492.4699999999993</v>
      </c>
    </row>
    <row r="171" spans="1:10" x14ac:dyDescent="0.3">
      <c r="A171" s="3">
        <v>45586</v>
      </c>
      <c r="B171" s="5">
        <v>10</v>
      </c>
      <c r="C171" s="5">
        <v>2024</v>
      </c>
      <c r="D171" s="5">
        <v>4</v>
      </c>
      <c r="E171" t="s">
        <v>37</v>
      </c>
      <c r="F171" t="s">
        <v>10</v>
      </c>
      <c r="G171" t="s">
        <v>15</v>
      </c>
      <c r="H171" t="s">
        <v>38</v>
      </c>
      <c r="I171" s="7">
        <v>5686.01</v>
      </c>
      <c r="J171" s="7">
        <v>5918.25</v>
      </c>
    </row>
    <row r="172" spans="1:10" x14ac:dyDescent="0.3">
      <c r="A172" s="3">
        <v>45586</v>
      </c>
      <c r="B172" s="5">
        <v>10</v>
      </c>
      <c r="C172" s="5">
        <v>2024</v>
      </c>
      <c r="D172" s="5">
        <v>4</v>
      </c>
      <c r="E172" t="s">
        <v>37</v>
      </c>
      <c r="F172" t="s">
        <v>17</v>
      </c>
      <c r="G172" t="s">
        <v>74</v>
      </c>
      <c r="H172" t="s">
        <v>90</v>
      </c>
      <c r="I172" s="7">
        <v>-8823.7199999999993</v>
      </c>
    </row>
    <row r="173" spans="1:10" x14ac:dyDescent="0.3">
      <c r="A173" s="3">
        <v>45588</v>
      </c>
      <c r="B173" s="5">
        <v>10</v>
      </c>
      <c r="C173" s="5">
        <v>2024</v>
      </c>
      <c r="D173" s="5">
        <v>4</v>
      </c>
      <c r="E173" t="s">
        <v>25</v>
      </c>
      <c r="F173" t="s">
        <v>10</v>
      </c>
      <c r="G173" t="s">
        <v>57</v>
      </c>
      <c r="H173" t="s">
        <v>64</v>
      </c>
      <c r="I173" s="7">
        <v>10425.450000000001</v>
      </c>
      <c r="J173" s="7">
        <v>9937.5300000000007</v>
      </c>
    </row>
    <row r="174" spans="1:10" x14ac:dyDescent="0.3">
      <c r="A174" s="3">
        <v>45588</v>
      </c>
      <c r="B174" s="5">
        <v>10</v>
      </c>
      <c r="C174" s="5">
        <v>2024</v>
      </c>
      <c r="D174" s="5">
        <v>4</v>
      </c>
      <c r="E174" t="s">
        <v>28</v>
      </c>
      <c r="F174" t="s">
        <v>17</v>
      </c>
      <c r="G174" t="s">
        <v>57</v>
      </c>
      <c r="H174" t="s">
        <v>67</v>
      </c>
      <c r="I174" s="7">
        <v>-21563.49</v>
      </c>
    </row>
    <row r="175" spans="1:10" x14ac:dyDescent="0.3">
      <c r="A175" s="3">
        <v>45589</v>
      </c>
      <c r="B175" s="5">
        <v>10</v>
      </c>
      <c r="C175" s="5">
        <v>2024</v>
      </c>
      <c r="D175" s="5">
        <v>4</v>
      </c>
      <c r="E175" t="s">
        <v>34</v>
      </c>
      <c r="F175" t="s">
        <v>17</v>
      </c>
      <c r="G175" t="s">
        <v>15</v>
      </c>
      <c r="H175" t="s">
        <v>36</v>
      </c>
      <c r="I175" s="7">
        <v>-5057.96</v>
      </c>
    </row>
    <row r="176" spans="1:10" x14ac:dyDescent="0.3">
      <c r="A176" s="3">
        <v>45589</v>
      </c>
      <c r="B176" s="5">
        <v>10</v>
      </c>
      <c r="C176" s="5">
        <v>2024</v>
      </c>
      <c r="D176" s="5">
        <v>4</v>
      </c>
      <c r="E176" t="s">
        <v>25</v>
      </c>
      <c r="F176" t="s">
        <v>10</v>
      </c>
      <c r="G176" t="s">
        <v>74</v>
      </c>
      <c r="H176" t="s">
        <v>81</v>
      </c>
      <c r="I176" s="7">
        <v>10071.84</v>
      </c>
      <c r="J176" s="7">
        <v>10670.94</v>
      </c>
    </row>
    <row r="177" spans="1:10" x14ac:dyDescent="0.3">
      <c r="A177" s="3">
        <v>45589</v>
      </c>
      <c r="B177" s="5">
        <v>10</v>
      </c>
      <c r="C177" s="5">
        <v>2024</v>
      </c>
      <c r="D177" s="5">
        <v>4</v>
      </c>
      <c r="E177" t="s">
        <v>28</v>
      </c>
      <c r="F177" t="s">
        <v>10</v>
      </c>
      <c r="G177" t="s">
        <v>74</v>
      </c>
      <c r="H177" t="s">
        <v>83</v>
      </c>
      <c r="I177" s="7">
        <v>19015.78</v>
      </c>
      <c r="J177" s="7">
        <v>19786.7</v>
      </c>
    </row>
    <row r="178" spans="1:10" x14ac:dyDescent="0.3">
      <c r="A178" s="3">
        <v>45590</v>
      </c>
      <c r="B178" s="5">
        <v>10</v>
      </c>
      <c r="C178" s="5">
        <v>2024</v>
      </c>
      <c r="D178" s="5">
        <v>4</v>
      </c>
      <c r="E178" t="s">
        <v>34</v>
      </c>
      <c r="F178" t="s">
        <v>17</v>
      </c>
      <c r="G178" t="s">
        <v>40</v>
      </c>
      <c r="H178" t="s">
        <v>54</v>
      </c>
      <c r="I178" s="7">
        <v>-13789.9</v>
      </c>
    </row>
    <row r="179" spans="1:10" x14ac:dyDescent="0.3">
      <c r="A179" s="3">
        <v>45590</v>
      </c>
      <c r="B179" s="5">
        <v>10</v>
      </c>
      <c r="C179" s="5">
        <v>2024</v>
      </c>
      <c r="D179" s="5">
        <v>4</v>
      </c>
      <c r="E179" t="s">
        <v>14</v>
      </c>
      <c r="F179" t="s">
        <v>10</v>
      </c>
      <c r="G179" t="s">
        <v>57</v>
      </c>
      <c r="H179" t="s">
        <v>58</v>
      </c>
      <c r="I179" s="7">
        <v>29113.74</v>
      </c>
      <c r="J179" s="7">
        <v>29088.95</v>
      </c>
    </row>
    <row r="180" spans="1:10" x14ac:dyDescent="0.3">
      <c r="A180" s="3">
        <v>45590</v>
      </c>
      <c r="B180" s="5">
        <v>10</v>
      </c>
      <c r="C180" s="5">
        <v>2024</v>
      </c>
      <c r="D180" s="5">
        <v>4</v>
      </c>
      <c r="E180" t="s">
        <v>14</v>
      </c>
      <c r="F180" t="s">
        <v>17</v>
      </c>
      <c r="G180" t="s">
        <v>57</v>
      </c>
      <c r="H180" t="s">
        <v>59</v>
      </c>
      <c r="I180" s="7">
        <v>-11252.91</v>
      </c>
    </row>
    <row r="181" spans="1:10" x14ac:dyDescent="0.3">
      <c r="A181" s="3">
        <v>45590</v>
      </c>
      <c r="B181" s="5">
        <v>10</v>
      </c>
      <c r="C181" s="5">
        <v>2024</v>
      </c>
      <c r="D181" s="5">
        <v>4</v>
      </c>
      <c r="E181" t="s">
        <v>14</v>
      </c>
      <c r="F181" t="s">
        <v>17</v>
      </c>
      <c r="G181" t="s">
        <v>74</v>
      </c>
      <c r="H181" t="s">
        <v>76</v>
      </c>
      <c r="I181" s="7">
        <v>-23283.87</v>
      </c>
    </row>
    <row r="182" spans="1:10" x14ac:dyDescent="0.3">
      <c r="A182" s="3">
        <v>45591</v>
      </c>
      <c r="B182" s="5">
        <v>10</v>
      </c>
      <c r="C182" s="5">
        <v>2024</v>
      </c>
      <c r="D182" s="5">
        <v>4</v>
      </c>
      <c r="E182" t="s">
        <v>37</v>
      </c>
      <c r="F182" t="s">
        <v>17</v>
      </c>
      <c r="G182" t="s">
        <v>15</v>
      </c>
      <c r="H182" t="s">
        <v>39</v>
      </c>
      <c r="I182" s="7">
        <v>-4080.37</v>
      </c>
    </row>
    <row r="183" spans="1:10" x14ac:dyDescent="0.3">
      <c r="A183" s="3">
        <v>45591</v>
      </c>
      <c r="B183" s="5">
        <v>10</v>
      </c>
      <c r="C183" s="5">
        <v>2024</v>
      </c>
      <c r="D183" s="5">
        <v>4</v>
      </c>
      <c r="E183" t="s">
        <v>22</v>
      </c>
      <c r="F183" t="s">
        <v>10</v>
      </c>
      <c r="G183" t="s">
        <v>74</v>
      </c>
      <c r="H183" t="s">
        <v>79</v>
      </c>
      <c r="I183" s="7">
        <v>20584.72</v>
      </c>
      <c r="J183" s="7">
        <v>21323.15</v>
      </c>
    </row>
    <row r="184" spans="1:10" x14ac:dyDescent="0.3">
      <c r="A184" s="3">
        <v>45592</v>
      </c>
      <c r="B184" s="5">
        <v>10</v>
      </c>
      <c r="C184" s="5">
        <v>2024</v>
      </c>
      <c r="D184" s="5">
        <v>4</v>
      </c>
      <c r="E184" t="s">
        <v>25</v>
      </c>
      <c r="F184" t="s">
        <v>10</v>
      </c>
      <c r="G184" t="s">
        <v>40</v>
      </c>
      <c r="H184" t="s">
        <v>47</v>
      </c>
      <c r="I184" s="7">
        <v>7486.42</v>
      </c>
      <c r="J184" s="7">
        <v>7167.84</v>
      </c>
    </row>
    <row r="185" spans="1:10" x14ac:dyDescent="0.3">
      <c r="A185" s="3">
        <v>45592</v>
      </c>
      <c r="B185" s="5">
        <v>10</v>
      </c>
      <c r="C185" s="5">
        <v>2024</v>
      </c>
      <c r="D185" s="5">
        <v>4</v>
      </c>
      <c r="E185" t="s">
        <v>37</v>
      </c>
      <c r="F185" t="s">
        <v>17</v>
      </c>
      <c r="G185" t="s">
        <v>40</v>
      </c>
      <c r="H185" t="s">
        <v>56</v>
      </c>
      <c r="I185" s="7">
        <v>-4372.57</v>
      </c>
    </row>
    <row r="186" spans="1:10" x14ac:dyDescent="0.3">
      <c r="A186" s="3">
        <v>45592</v>
      </c>
      <c r="B186" s="5">
        <v>10</v>
      </c>
      <c r="C186" s="5">
        <v>2024</v>
      </c>
      <c r="D186" s="5">
        <v>4</v>
      </c>
      <c r="E186" t="s">
        <v>19</v>
      </c>
      <c r="F186" t="s">
        <v>10</v>
      </c>
      <c r="G186" t="s">
        <v>57</v>
      </c>
      <c r="H186" t="s">
        <v>60</v>
      </c>
      <c r="I186" s="7">
        <v>21128.29</v>
      </c>
      <c r="J186" s="7">
        <v>22217.31</v>
      </c>
    </row>
    <row r="187" spans="1:10" x14ac:dyDescent="0.3">
      <c r="A187" s="3">
        <v>45593</v>
      </c>
      <c r="B187" s="5">
        <v>10</v>
      </c>
      <c r="C187" s="5">
        <v>2024</v>
      </c>
      <c r="D187" s="5">
        <v>4</v>
      </c>
      <c r="E187" t="s">
        <v>34</v>
      </c>
      <c r="F187" t="s">
        <v>10</v>
      </c>
      <c r="G187" t="s">
        <v>15</v>
      </c>
      <c r="H187" t="s">
        <v>35</v>
      </c>
      <c r="I187" s="7">
        <v>13054.88</v>
      </c>
      <c r="J187" s="7">
        <v>12626.22</v>
      </c>
    </row>
    <row r="188" spans="1:10" x14ac:dyDescent="0.3">
      <c r="A188" s="3">
        <v>45593</v>
      </c>
      <c r="B188" s="5">
        <v>10</v>
      </c>
      <c r="C188" s="5">
        <v>2024</v>
      </c>
      <c r="D188" s="5">
        <v>4</v>
      </c>
      <c r="E188" t="s">
        <v>19</v>
      </c>
      <c r="F188" t="s">
        <v>17</v>
      </c>
      <c r="G188" t="s">
        <v>57</v>
      </c>
      <c r="H188" t="s">
        <v>61</v>
      </c>
      <c r="I188" s="7">
        <v>-14047.78</v>
      </c>
    </row>
    <row r="189" spans="1:10" x14ac:dyDescent="0.3">
      <c r="A189" s="3">
        <v>45593</v>
      </c>
      <c r="B189" s="5">
        <v>10</v>
      </c>
      <c r="C189" s="5">
        <v>2024</v>
      </c>
      <c r="D189" s="5">
        <v>4</v>
      </c>
      <c r="E189" t="s">
        <v>22</v>
      </c>
      <c r="F189" t="s">
        <v>17</v>
      </c>
      <c r="G189" t="s">
        <v>74</v>
      </c>
      <c r="H189" t="s">
        <v>80</v>
      </c>
      <c r="I189" s="7">
        <v>-29854.42</v>
      </c>
    </row>
    <row r="190" spans="1:10" x14ac:dyDescent="0.3">
      <c r="A190" s="3">
        <v>45594</v>
      </c>
      <c r="B190" s="5">
        <v>10</v>
      </c>
      <c r="C190" s="5">
        <v>2024</v>
      </c>
      <c r="D190" s="5">
        <v>4</v>
      </c>
      <c r="E190" t="s">
        <v>19</v>
      </c>
      <c r="F190" t="s">
        <v>17</v>
      </c>
      <c r="G190" t="s">
        <v>15</v>
      </c>
      <c r="H190" t="s">
        <v>21</v>
      </c>
      <c r="I190" s="7">
        <v>-17819.28</v>
      </c>
    </row>
    <row r="191" spans="1:10" x14ac:dyDescent="0.3">
      <c r="A191" s="3">
        <v>45594</v>
      </c>
      <c r="B191" s="5">
        <v>10</v>
      </c>
      <c r="C191" s="5">
        <v>2024</v>
      </c>
      <c r="D191" s="5">
        <v>4</v>
      </c>
      <c r="E191" t="s">
        <v>31</v>
      </c>
      <c r="F191" t="s">
        <v>10</v>
      </c>
      <c r="G191" t="s">
        <v>15</v>
      </c>
      <c r="H191" t="s">
        <v>32</v>
      </c>
      <c r="I191" s="7">
        <v>5014.38</v>
      </c>
      <c r="J191" s="7">
        <v>4685.34</v>
      </c>
    </row>
    <row r="192" spans="1:10" x14ac:dyDescent="0.3">
      <c r="A192" s="3">
        <v>45594</v>
      </c>
      <c r="B192" s="5">
        <v>10</v>
      </c>
      <c r="C192" s="5">
        <v>2024</v>
      </c>
      <c r="D192" s="5">
        <v>4</v>
      </c>
      <c r="E192" t="s">
        <v>31</v>
      </c>
      <c r="F192" t="s">
        <v>10</v>
      </c>
      <c r="G192" t="s">
        <v>57</v>
      </c>
      <c r="H192" t="s">
        <v>68</v>
      </c>
      <c r="I192" s="7">
        <v>4811.87</v>
      </c>
      <c r="J192" s="7">
        <v>4776.42</v>
      </c>
    </row>
    <row r="193" spans="1:10" x14ac:dyDescent="0.3">
      <c r="A193" s="3">
        <v>45596</v>
      </c>
      <c r="B193" s="5">
        <v>10</v>
      </c>
      <c r="C193" s="5">
        <v>2024</v>
      </c>
      <c r="D193" s="5">
        <v>4</v>
      </c>
      <c r="E193" t="s">
        <v>14</v>
      </c>
      <c r="F193" t="s">
        <v>10</v>
      </c>
      <c r="G193" t="s">
        <v>15</v>
      </c>
      <c r="H193" t="s">
        <v>16</v>
      </c>
      <c r="I193" s="7">
        <v>29779.119999999999</v>
      </c>
      <c r="J193" s="7">
        <v>30217.62</v>
      </c>
    </row>
    <row r="194" spans="1:10" x14ac:dyDescent="0.3">
      <c r="A194" s="3">
        <v>45597</v>
      </c>
      <c r="B194" s="5">
        <v>11</v>
      </c>
      <c r="C194" s="5">
        <v>2024</v>
      </c>
      <c r="D194" s="5">
        <v>4</v>
      </c>
      <c r="E194" t="s">
        <v>22</v>
      </c>
      <c r="F194" t="s">
        <v>10</v>
      </c>
      <c r="G194" t="s">
        <v>15</v>
      </c>
      <c r="H194" t="s">
        <v>23</v>
      </c>
      <c r="I194" s="7">
        <v>36013.14</v>
      </c>
      <c r="J194" s="7">
        <v>38021.46</v>
      </c>
    </row>
    <row r="195" spans="1:10" x14ac:dyDescent="0.3">
      <c r="A195" s="3">
        <v>45597</v>
      </c>
      <c r="B195" s="5">
        <v>11</v>
      </c>
      <c r="C195" s="5">
        <v>2024</v>
      </c>
      <c r="D195" s="5">
        <v>4</v>
      </c>
      <c r="E195" t="s">
        <v>25</v>
      </c>
      <c r="F195" t="s">
        <v>10</v>
      </c>
      <c r="G195" t="s">
        <v>15</v>
      </c>
      <c r="H195" t="s">
        <v>26</v>
      </c>
      <c r="I195" s="7">
        <v>13180.9</v>
      </c>
      <c r="J195" s="7">
        <v>13658.72</v>
      </c>
    </row>
    <row r="196" spans="1:10" x14ac:dyDescent="0.3">
      <c r="A196" s="3">
        <v>45597</v>
      </c>
      <c r="B196" s="5">
        <v>11</v>
      </c>
      <c r="C196" s="5">
        <v>2024</v>
      </c>
      <c r="D196" s="5">
        <v>4</v>
      </c>
      <c r="E196" t="s">
        <v>28</v>
      </c>
      <c r="F196" t="s">
        <v>17</v>
      </c>
      <c r="G196" t="s">
        <v>15</v>
      </c>
      <c r="H196" t="s">
        <v>30</v>
      </c>
      <c r="I196" s="7">
        <v>-21872.1</v>
      </c>
    </row>
    <row r="197" spans="1:10" x14ac:dyDescent="0.3">
      <c r="A197" s="3">
        <v>45598</v>
      </c>
      <c r="B197" s="5">
        <v>11</v>
      </c>
      <c r="C197" s="5">
        <v>2024</v>
      </c>
      <c r="D197" s="5">
        <v>4</v>
      </c>
      <c r="E197" t="s">
        <v>25</v>
      </c>
      <c r="F197" t="s">
        <v>17</v>
      </c>
      <c r="G197" t="s">
        <v>15</v>
      </c>
      <c r="H197" t="s">
        <v>27</v>
      </c>
      <c r="I197" s="7">
        <v>-17134.53</v>
      </c>
    </row>
    <row r="198" spans="1:10" x14ac:dyDescent="0.3">
      <c r="A198" s="3">
        <v>45598</v>
      </c>
      <c r="B198" s="5">
        <v>11</v>
      </c>
      <c r="C198" s="5">
        <v>2024</v>
      </c>
      <c r="D198" s="5">
        <v>4</v>
      </c>
      <c r="E198" t="s">
        <v>31</v>
      </c>
      <c r="F198" t="s">
        <v>10</v>
      </c>
      <c r="G198" t="s">
        <v>57</v>
      </c>
      <c r="H198" t="s">
        <v>68</v>
      </c>
      <c r="I198" s="7">
        <v>5039.42</v>
      </c>
      <c r="J198" s="7">
        <v>4988.0200000000004</v>
      </c>
    </row>
    <row r="199" spans="1:10" x14ac:dyDescent="0.3">
      <c r="A199" s="3">
        <v>45598</v>
      </c>
      <c r="B199" s="5">
        <v>11</v>
      </c>
      <c r="C199" s="5">
        <v>2024</v>
      </c>
      <c r="D199" s="5">
        <v>4</v>
      </c>
      <c r="E199" t="s">
        <v>14</v>
      </c>
      <c r="F199" t="s">
        <v>10</v>
      </c>
      <c r="G199" t="s">
        <v>74</v>
      </c>
      <c r="H199" t="s">
        <v>75</v>
      </c>
      <c r="I199" s="7">
        <v>32683.99</v>
      </c>
      <c r="J199" s="7">
        <v>35856.39</v>
      </c>
    </row>
    <row r="200" spans="1:10" x14ac:dyDescent="0.3">
      <c r="A200" s="3">
        <v>45599</v>
      </c>
      <c r="B200" s="5">
        <v>11</v>
      </c>
      <c r="C200" s="5">
        <v>2024</v>
      </c>
      <c r="D200" s="5">
        <v>4</v>
      </c>
      <c r="E200" t="s">
        <v>34</v>
      </c>
      <c r="F200" t="s">
        <v>10</v>
      </c>
      <c r="G200" t="s">
        <v>15</v>
      </c>
      <c r="H200" t="s">
        <v>35</v>
      </c>
      <c r="I200" s="7">
        <v>18410.3</v>
      </c>
      <c r="J200" s="7">
        <v>17343.41</v>
      </c>
    </row>
    <row r="201" spans="1:10" x14ac:dyDescent="0.3">
      <c r="A201" s="3">
        <v>45601</v>
      </c>
      <c r="B201" s="5">
        <v>11</v>
      </c>
      <c r="C201" s="5">
        <v>2024</v>
      </c>
      <c r="D201" s="5">
        <v>4</v>
      </c>
      <c r="E201" t="s">
        <v>22</v>
      </c>
      <c r="F201" t="s">
        <v>10</v>
      </c>
      <c r="G201" t="s">
        <v>57</v>
      </c>
      <c r="H201" t="s">
        <v>62</v>
      </c>
      <c r="I201" s="7">
        <v>29694.35</v>
      </c>
      <c r="J201" s="7">
        <v>30409.66</v>
      </c>
    </row>
    <row r="202" spans="1:10" x14ac:dyDescent="0.3">
      <c r="A202" s="3">
        <v>45601</v>
      </c>
      <c r="B202" s="5">
        <v>11</v>
      </c>
      <c r="C202" s="5">
        <v>2024</v>
      </c>
      <c r="D202" s="5">
        <v>4</v>
      </c>
      <c r="E202" t="s">
        <v>34</v>
      </c>
      <c r="F202" t="s">
        <v>17</v>
      </c>
      <c r="G202" t="s">
        <v>57</v>
      </c>
      <c r="H202" t="s">
        <v>71</v>
      </c>
      <c r="I202" s="7">
        <v>-9228.5</v>
      </c>
    </row>
    <row r="203" spans="1:10" x14ac:dyDescent="0.3">
      <c r="A203" s="3">
        <v>45601</v>
      </c>
      <c r="B203" s="5">
        <v>11</v>
      </c>
      <c r="C203" s="5">
        <v>2024</v>
      </c>
      <c r="D203" s="5">
        <v>4</v>
      </c>
      <c r="E203" t="s">
        <v>22</v>
      </c>
      <c r="F203" t="s">
        <v>17</v>
      </c>
      <c r="G203" t="s">
        <v>74</v>
      </c>
      <c r="H203" t="s">
        <v>80</v>
      </c>
      <c r="I203" s="7">
        <v>-12243.93</v>
      </c>
    </row>
    <row r="204" spans="1:10" x14ac:dyDescent="0.3">
      <c r="A204" s="3">
        <v>45602</v>
      </c>
      <c r="B204" s="5">
        <v>11</v>
      </c>
      <c r="C204" s="5">
        <v>2024</v>
      </c>
      <c r="D204" s="5">
        <v>4</v>
      </c>
      <c r="E204" t="s">
        <v>14</v>
      </c>
      <c r="F204" t="s">
        <v>17</v>
      </c>
      <c r="G204" t="s">
        <v>40</v>
      </c>
      <c r="H204" t="s">
        <v>42</v>
      </c>
      <c r="I204" s="7">
        <v>-23543.279999999999</v>
      </c>
    </row>
    <row r="205" spans="1:10" x14ac:dyDescent="0.3">
      <c r="A205" s="3">
        <v>45602</v>
      </c>
      <c r="B205" s="5">
        <v>11</v>
      </c>
      <c r="C205" s="5">
        <v>2024</v>
      </c>
      <c r="D205" s="5">
        <v>4</v>
      </c>
      <c r="E205" t="s">
        <v>14</v>
      </c>
      <c r="F205" t="s">
        <v>17</v>
      </c>
      <c r="G205" t="s">
        <v>57</v>
      </c>
      <c r="H205" t="s">
        <v>59</v>
      </c>
      <c r="I205" s="7">
        <v>-12751.11</v>
      </c>
    </row>
    <row r="206" spans="1:10" x14ac:dyDescent="0.3">
      <c r="A206" s="3">
        <v>45602</v>
      </c>
      <c r="B206" s="5">
        <v>11</v>
      </c>
      <c r="C206" s="5">
        <v>2024</v>
      </c>
      <c r="D206" s="5">
        <v>4</v>
      </c>
      <c r="E206" t="s">
        <v>37</v>
      </c>
      <c r="F206" t="s">
        <v>10</v>
      </c>
      <c r="G206" t="s">
        <v>57</v>
      </c>
      <c r="H206" t="s">
        <v>72</v>
      </c>
      <c r="I206" s="7">
        <v>6942.76</v>
      </c>
      <c r="J206" s="7">
        <v>6934.16</v>
      </c>
    </row>
    <row r="207" spans="1:10" x14ac:dyDescent="0.3">
      <c r="A207" s="3">
        <v>45603</v>
      </c>
      <c r="B207" s="5">
        <v>11</v>
      </c>
      <c r="C207" s="5">
        <v>2024</v>
      </c>
      <c r="D207" s="5">
        <v>4</v>
      </c>
      <c r="E207" t="s">
        <v>37</v>
      </c>
      <c r="F207" t="s">
        <v>17</v>
      </c>
      <c r="G207" t="s">
        <v>74</v>
      </c>
      <c r="H207" t="s">
        <v>90</v>
      </c>
      <c r="I207" s="7">
        <v>-9671.31</v>
      </c>
    </row>
    <row r="208" spans="1:10" x14ac:dyDescent="0.3">
      <c r="A208" s="3">
        <v>45604</v>
      </c>
      <c r="B208" s="5">
        <v>11</v>
      </c>
      <c r="C208" s="5">
        <v>2024</v>
      </c>
      <c r="D208" s="5">
        <v>4</v>
      </c>
      <c r="E208" t="s">
        <v>25</v>
      </c>
      <c r="F208" t="s">
        <v>10</v>
      </c>
      <c r="G208" t="s">
        <v>40</v>
      </c>
      <c r="H208" t="s">
        <v>47</v>
      </c>
      <c r="I208" s="7">
        <v>10323.32</v>
      </c>
      <c r="J208" s="7">
        <v>11266.56</v>
      </c>
    </row>
    <row r="209" spans="1:10" x14ac:dyDescent="0.3">
      <c r="A209" s="3">
        <v>45604</v>
      </c>
      <c r="B209" s="5">
        <v>11</v>
      </c>
      <c r="C209" s="5">
        <v>2024</v>
      </c>
      <c r="D209" s="5">
        <v>4</v>
      </c>
      <c r="E209" t="s">
        <v>19</v>
      </c>
      <c r="F209" t="s">
        <v>17</v>
      </c>
      <c r="G209" t="s">
        <v>57</v>
      </c>
      <c r="H209" t="s">
        <v>61</v>
      </c>
      <c r="I209" s="7">
        <v>-21246.79</v>
      </c>
    </row>
    <row r="210" spans="1:10" x14ac:dyDescent="0.3">
      <c r="A210" s="3">
        <v>45605</v>
      </c>
      <c r="B210" s="5">
        <v>11</v>
      </c>
      <c r="C210" s="5">
        <v>2024</v>
      </c>
      <c r="D210" s="5">
        <v>4</v>
      </c>
      <c r="E210" t="s">
        <v>37</v>
      </c>
      <c r="F210" t="s">
        <v>17</v>
      </c>
      <c r="G210" t="s">
        <v>15</v>
      </c>
      <c r="H210" t="s">
        <v>39</v>
      </c>
      <c r="I210" s="7">
        <v>-5258.3600000000006</v>
      </c>
    </row>
    <row r="211" spans="1:10" x14ac:dyDescent="0.3">
      <c r="A211" s="3">
        <v>45605</v>
      </c>
      <c r="B211" s="5">
        <v>11</v>
      </c>
      <c r="C211" s="5">
        <v>2024</v>
      </c>
      <c r="D211" s="5">
        <v>4</v>
      </c>
      <c r="E211" t="s">
        <v>19</v>
      </c>
      <c r="F211" t="s">
        <v>10</v>
      </c>
      <c r="G211" t="s">
        <v>74</v>
      </c>
      <c r="H211" t="s">
        <v>77</v>
      </c>
      <c r="I211" s="7">
        <v>26725.62</v>
      </c>
      <c r="J211" s="7">
        <v>25613.33</v>
      </c>
    </row>
    <row r="212" spans="1:10" x14ac:dyDescent="0.3">
      <c r="A212" s="3">
        <v>45606</v>
      </c>
      <c r="B212" s="5">
        <v>11</v>
      </c>
      <c r="C212" s="5">
        <v>2024</v>
      </c>
      <c r="D212" s="5">
        <v>4</v>
      </c>
      <c r="E212" t="s">
        <v>22</v>
      </c>
      <c r="F212" t="s">
        <v>17</v>
      </c>
      <c r="G212" t="s">
        <v>15</v>
      </c>
      <c r="H212" t="s">
        <v>24</v>
      </c>
      <c r="I212" s="7">
        <v>-25572.3</v>
      </c>
    </row>
    <row r="213" spans="1:10" x14ac:dyDescent="0.3">
      <c r="A213" s="3">
        <v>45606</v>
      </c>
      <c r="B213" s="5">
        <v>11</v>
      </c>
      <c r="C213" s="5">
        <v>2024</v>
      </c>
      <c r="D213" s="5">
        <v>4</v>
      </c>
      <c r="E213" t="s">
        <v>34</v>
      </c>
      <c r="F213" t="s">
        <v>17</v>
      </c>
      <c r="G213" t="s">
        <v>40</v>
      </c>
      <c r="H213" t="s">
        <v>54</v>
      </c>
      <c r="I213" s="7">
        <v>-6121.5</v>
      </c>
    </row>
    <row r="214" spans="1:10" x14ac:dyDescent="0.3">
      <c r="A214" s="3">
        <v>45607</v>
      </c>
      <c r="B214" s="5">
        <v>11</v>
      </c>
      <c r="C214" s="5">
        <v>2024</v>
      </c>
      <c r="D214" s="5">
        <v>4</v>
      </c>
      <c r="E214" t="s">
        <v>19</v>
      </c>
      <c r="F214" t="s">
        <v>10</v>
      </c>
      <c r="G214" t="s">
        <v>40</v>
      </c>
      <c r="H214" t="s">
        <v>43</v>
      </c>
      <c r="I214" s="7">
        <v>23512.35</v>
      </c>
      <c r="J214" s="7">
        <v>23032.080000000002</v>
      </c>
    </row>
    <row r="215" spans="1:10" x14ac:dyDescent="0.3">
      <c r="A215" s="3">
        <v>45607</v>
      </c>
      <c r="B215" s="5">
        <v>11</v>
      </c>
      <c r="C215" s="5">
        <v>2024</v>
      </c>
      <c r="D215" s="5">
        <v>4</v>
      </c>
      <c r="E215" t="s">
        <v>25</v>
      </c>
      <c r="F215" t="s">
        <v>17</v>
      </c>
      <c r="G215" t="s">
        <v>40</v>
      </c>
      <c r="H215" t="s">
        <v>48</v>
      </c>
      <c r="I215" s="7">
        <v>-12741.41</v>
      </c>
    </row>
    <row r="216" spans="1:10" x14ac:dyDescent="0.3">
      <c r="A216" s="3">
        <v>45607</v>
      </c>
      <c r="B216" s="5">
        <v>11</v>
      </c>
      <c r="C216" s="5">
        <v>2024</v>
      </c>
      <c r="D216" s="5">
        <v>4</v>
      </c>
      <c r="E216" t="s">
        <v>34</v>
      </c>
      <c r="F216" t="s">
        <v>10</v>
      </c>
      <c r="G216" t="s">
        <v>40</v>
      </c>
      <c r="H216" t="s">
        <v>53</v>
      </c>
      <c r="I216" s="7">
        <v>11502.36</v>
      </c>
      <c r="J216" s="7">
        <v>12223.66</v>
      </c>
    </row>
    <row r="217" spans="1:10" x14ac:dyDescent="0.3">
      <c r="A217" s="3">
        <v>45608</v>
      </c>
      <c r="B217" s="5">
        <v>11</v>
      </c>
      <c r="C217" s="5">
        <v>2024</v>
      </c>
      <c r="D217" s="5">
        <v>4</v>
      </c>
      <c r="E217" t="s">
        <v>22</v>
      </c>
      <c r="F217" t="s">
        <v>10</v>
      </c>
      <c r="G217" t="s">
        <v>40</v>
      </c>
      <c r="H217" t="s">
        <v>45</v>
      </c>
      <c r="I217" s="7">
        <v>35452.480000000003</v>
      </c>
      <c r="J217" s="7">
        <v>36578.639999999999</v>
      </c>
    </row>
    <row r="218" spans="1:10" x14ac:dyDescent="0.3">
      <c r="A218" s="3">
        <v>45608</v>
      </c>
      <c r="B218" s="5">
        <v>11</v>
      </c>
      <c r="C218" s="5">
        <v>2024</v>
      </c>
      <c r="D218" s="5">
        <v>4</v>
      </c>
      <c r="E218" t="s">
        <v>28</v>
      </c>
      <c r="F218" t="s">
        <v>17</v>
      </c>
      <c r="G218" t="s">
        <v>74</v>
      </c>
      <c r="H218" t="s">
        <v>84</v>
      </c>
      <c r="I218" s="7">
        <v>-11437.01</v>
      </c>
    </row>
    <row r="219" spans="1:10" x14ac:dyDescent="0.3">
      <c r="A219" s="3">
        <v>45608</v>
      </c>
      <c r="B219" s="5">
        <v>11</v>
      </c>
      <c r="C219" s="5">
        <v>2024</v>
      </c>
      <c r="D219" s="5">
        <v>4</v>
      </c>
      <c r="E219" t="s">
        <v>37</v>
      </c>
      <c r="F219" t="s">
        <v>10</v>
      </c>
      <c r="G219" t="s">
        <v>74</v>
      </c>
      <c r="H219" t="s">
        <v>89</v>
      </c>
      <c r="I219" s="7">
        <v>6317.21</v>
      </c>
      <c r="J219" s="7">
        <v>6256.18</v>
      </c>
    </row>
    <row r="220" spans="1:10" x14ac:dyDescent="0.3">
      <c r="A220" s="3">
        <v>45609</v>
      </c>
      <c r="B220" s="5">
        <v>11</v>
      </c>
      <c r="C220" s="5">
        <v>2024</v>
      </c>
      <c r="D220" s="5">
        <v>4</v>
      </c>
      <c r="E220" t="s">
        <v>31</v>
      </c>
      <c r="F220" t="s">
        <v>17</v>
      </c>
      <c r="G220" t="s">
        <v>57</v>
      </c>
      <c r="H220" t="s">
        <v>69</v>
      </c>
      <c r="I220" s="7">
        <v>-2788.73</v>
      </c>
    </row>
    <row r="221" spans="1:10" x14ac:dyDescent="0.3">
      <c r="A221" s="3">
        <v>45610</v>
      </c>
      <c r="B221" s="5">
        <v>11</v>
      </c>
      <c r="C221" s="5">
        <v>2024</v>
      </c>
      <c r="D221" s="5">
        <v>4</v>
      </c>
      <c r="E221" t="s">
        <v>28</v>
      </c>
      <c r="F221" t="s">
        <v>10</v>
      </c>
      <c r="G221" t="s">
        <v>40</v>
      </c>
      <c r="H221" t="s">
        <v>49</v>
      </c>
      <c r="I221" s="7">
        <v>22348.54</v>
      </c>
      <c r="J221" s="7">
        <v>23076.91</v>
      </c>
    </row>
    <row r="222" spans="1:10" x14ac:dyDescent="0.3">
      <c r="A222" s="3">
        <v>45610</v>
      </c>
      <c r="B222" s="5">
        <v>11</v>
      </c>
      <c r="C222" s="5">
        <v>2024</v>
      </c>
      <c r="D222" s="5">
        <v>4</v>
      </c>
      <c r="E222" t="s">
        <v>31</v>
      </c>
      <c r="F222" t="s">
        <v>17</v>
      </c>
      <c r="G222" t="s">
        <v>40</v>
      </c>
      <c r="H222" t="s">
        <v>52</v>
      </c>
      <c r="I222" s="7">
        <v>-3195.17</v>
      </c>
    </row>
    <row r="223" spans="1:10" x14ac:dyDescent="0.3">
      <c r="A223" s="3">
        <v>45611</v>
      </c>
      <c r="B223" s="5">
        <v>11</v>
      </c>
      <c r="C223" s="5">
        <v>2024</v>
      </c>
      <c r="D223" s="5">
        <v>4</v>
      </c>
      <c r="E223" t="s">
        <v>25</v>
      </c>
      <c r="F223" t="s">
        <v>17</v>
      </c>
      <c r="G223" t="s">
        <v>57</v>
      </c>
      <c r="H223" t="s">
        <v>65</v>
      </c>
      <c r="I223" s="7">
        <v>-9953.06</v>
      </c>
    </row>
    <row r="224" spans="1:10" x14ac:dyDescent="0.3">
      <c r="A224" s="3">
        <v>45611</v>
      </c>
      <c r="B224" s="5">
        <v>11</v>
      </c>
      <c r="C224" s="5">
        <v>2024</v>
      </c>
      <c r="D224" s="5">
        <v>4</v>
      </c>
      <c r="E224" t="s">
        <v>25</v>
      </c>
      <c r="F224" t="s">
        <v>17</v>
      </c>
      <c r="G224" t="s">
        <v>74</v>
      </c>
      <c r="H224" t="s">
        <v>82</v>
      </c>
      <c r="I224" s="7">
        <v>-3413.85</v>
      </c>
    </row>
    <row r="225" spans="1:10" x14ac:dyDescent="0.3">
      <c r="A225" s="3">
        <v>45612</v>
      </c>
      <c r="B225" s="5">
        <v>11</v>
      </c>
      <c r="C225" s="5">
        <v>2024</v>
      </c>
      <c r="D225" s="5">
        <v>4</v>
      </c>
      <c r="E225" t="s">
        <v>14</v>
      </c>
      <c r="F225" t="s">
        <v>10</v>
      </c>
      <c r="G225" t="s">
        <v>15</v>
      </c>
      <c r="H225" t="s">
        <v>16</v>
      </c>
      <c r="I225" s="7">
        <v>40558.21</v>
      </c>
      <c r="J225" s="7">
        <v>43391.99</v>
      </c>
    </row>
    <row r="226" spans="1:10" x14ac:dyDescent="0.3">
      <c r="A226" s="3">
        <v>45612</v>
      </c>
      <c r="B226" s="5">
        <v>11</v>
      </c>
      <c r="C226" s="5">
        <v>2024</v>
      </c>
      <c r="D226" s="5">
        <v>4</v>
      </c>
      <c r="E226" t="s">
        <v>22</v>
      </c>
      <c r="F226" t="s">
        <v>17</v>
      </c>
      <c r="G226" t="s">
        <v>57</v>
      </c>
      <c r="H226" t="s">
        <v>63</v>
      </c>
      <c r="I226" s="7">
        <v>-42008.63</v>
      </c>
    </row>
    <row r="227" spans="1:10" x14ac:dyDescent="0.3">
      <c r="A227" s="3">
        <v>45612</v>
      </c>
      <c r="B227" s="5">
        <v>11</v>
      </c>
      <c r="C227" s="5">
        <v>2024</v>
      </c>
      <c r="D227" s="5">
        <v>4</v>
      </c>
      <c r="E227" t="s">
        <v>25</v>
      </c>
      <c r="F227" t="s">
        <v>10</v>
      </c>
      <c r="G227" t="s">
        <v>57</v>
      </c>
      <c r="H227" t="s">
        <v>64</v>
      </c>
      <c r="I227" s="7">
        <v>12060.33</v>
      </c>
      <c r="J227" s="7">
        <v>12445.53</v>
      </c>
    </row>
    <row r="228" spans="1:10" x14ac:dyDescent="0.3">
      <c r="A228" s="3">
        <v>45612</v>
      </c>
      <c r="B228" s="5">
        <v>11</v>
      </c>
      <c r="C228" s="5">
        <v>2024</v>
      </c>
      <c r="D228" s="5">
        <v>4</v>
      </c>
      <c r="E228" t="s">
        <v>22</v>
      </c>
      <c r="F228" t="s">
        <v>10</v>
      </c>
      <c r="G228" t="s">
        <v>74</v>
      </c>
      <c r="H228" t="s">
        <v>79</v>
      </c>
      <c r="I228" s="7">
        <v>30356.5</v>
      </c>
      <c r="J228" s="7">
        <v>31879.34</v>
      </c>
    </row>
    <row r="229" spans="1:10" x14ac:dyDescent="0.3">
      <c r="A229" s="3">
        <v>45612</v>
      </c>
      <c r="B229" s="5">
        <v>11</v>
      </c>
      <c r="C229" s="5">
        <v>2024</v>
      </c>
      <c r="D229" s="5">
        <v>4</v>
      </c>
      <c r="E229" t="s">
        <v>28</v>
      </c>
      <c r="F229" t="s">
        <v>10</v>
      </c>
      <c r="G229" t="s">
        <v>74</v>
      </c>
      <c r="H229" t="s">
        <v>83</v>
      </c>
      <c r="I229" s="7">
        <v>21602.92</v>
      </c>
      <c r="J229" s="7">
        <v>22030.35</v>
      </c>
    </row>
    <row r="230" spans="1:10" x14ac:dyDescent="0.3">
      <c r="A230" s="3">
        <v>45613</v>
      </c>
      <c r="B230" s="5">
        <v>11</v>
      </c>
      <c r="C230" s="5">
        <v>2024</v>
      </c>
      <c r="D230" s="5">
        <v>4</v>
      </c>
      <c r="E230" t="s">
        <v>19</v>
      </c>
      <c r="F230" t="s">
        <v>17</v>
      </c>
      <c r="G230" t="s">
        <v>40</v>
      </c>
      <c r="H230" t="s">
        <v>44</v>
      </c>
      <c r="I230" s="7">
        <v>-15401.25</v>
      </c>
    </row>
    <row r="231" spans="1:10" x14ac:dyDescent="0.3">
      <c r="A231" s="3">
        <v>45613</v>
      </c>
      <c r="B231" s="5">
        <v>11</v>
      </c>
      <c r="C231" s="5">
        <v>2024</v>
      </c>
      <c r="D231" s="5">
        <v>4</v>
      </c>
      <c r="E231" t="s">
        <v>28</v>
      </c>
      <c r="F231" t="s">
        <v>17</v>
      </c>
      <c r="G231" t="s">
        <v>40</v>
      </c>
      <c r="H231" t="s">
        <v>50</v>
      </c>
      <c r="I231" s="7">
        <v>-31833.48</v>
      </c>
    </row>
    <row r="232" spans="1:10" x14ac:dyDescent="0.3">
      <c r="A232" s="3">
        <v>45613</v>
      </c>
      <c r="B232" s="5">
        <v>11</v>
      </c>
      <c r="C232" s="5">
        <v>2024</v>
      </c>
      <c r="D232" s="5">
        <v>4</v>
      </c>
      <c r="E232" t="s">
        <v>34</v>
      </c>
      <c r="F232" t="s">
        <v>10</v>
      </c>
      <c r="G232" t="s">
        <v>57</v>
      </c>
      <c r="H232" t="s">
        <v>70</v>
      </c>
      <c r="I232" s="7">
        <v>16227.47</v>
      </c>
      <c r="J232" s="7">
        <v>17726.22</v>
      </c>
    </row>
    <row r="233" spans="1:10" x14ac:dyDescent="0.3">
      <c r="A233" s="3">
        <v>45614</v>
      </c>
      <c r="B233" s="5">
        <v>11</v>
      </c>
      <c r="C233" s="5">
        <v>2024</v>
      </c>
      <c r="D233" s="5">
        <v>4</v>
      </c>
      <c r="E233" t="s">
        <v>19</v>
      </c>
      <c r="F233" t="s">
        <v>17</v>
      </c>
      <c r="G233" t="s">
        <v>15</v>
      </c>
      <c r="H233" t="s">
        <v>21</v>
      </c>
      <c r="I233" s="7">
        <v>-16165.82</v>
      </c>
    </row>
    <row r="234" spans="1:10" x14ac:dyDescent="0.3">
      <c r="A234" s="3">
        <v>45614</v>
      </c>
      <c r="B234" s="5">
        <v>11</v>
      </c>
      <c r="C234" s="5">
        <v>2024</v>
      </c>
      <c r="D234" s="5">
        <v>4</v>
      </c>
      <c r="E234" t="s">
        <v>28</v>
      </c>
      <c r="F234" t="s">
        <v>10</v>
      </c>
      <c r="G234" t="s">
        <v>15</v>
      </c>
      <c r="H234" t="s">
        <v>29</v>
      </c>
      <c r="I234" s="7">
        <v>19576.919999999998</v>
      </c>
      <c r="J234" s="7">
        <v>21476.15</v>
      </c>
    </row>
    <row r="235" spans="1:10" x14ac:dyDescent="0.3">
      <c r="A235" s="3">
        <v>45614</v>
      </c>
      <c r="B235" s="5">
        <v>11</v>
      </c>
      <c r="C235" s="5">
        <v>2024</v>
      </c>
      <c r="D235" s="5">
        <v>4</v>
      </c>
      <c r="E235" t="s">
        <v>37</v>
      </c>
      <c r="F235" t="s">
        <v>17</v>
      </c>
      <c r="G235" t="s">
        <v>57</v>
      </c>
      <c r="H235" t="s">
        <v>73</v>
      </c>
      <c r="I235" s="7">
        <v>-7754.77</v>
      </c>
    </row>
    <row r="236" spans="1:10" x14ac:dyDescent="0.3">
      <c r="A236" s="3">
        <v>45614</v>
      </c>
      <c r="B236" s="5">
        <v>11</v>
      </c>
      <c r="C236" s="5">
        <v>2024</v>
      </c>
      <c r="D236" s="5">
        <v>4</v>
      </c>
      <c r="E236" t="s">
        <v>34</v>
      </c>
      <c r="F236" t="s">
        <v>17</v>
      </c>
      <c r="G236" t="s">
        <v>74</v>
      </c>
      <c r="H236" t="s">
        <v>88</v>
      </c>
      <c r="I236" s="7">
        <v>-7372.8899999999994</v>
      </c>
    </row>
    <row r="237" spans="1:10" x14ac:dyDescent="0.3">
      <c r="A237" s="3">
        <v>45615</v>
      </c>
      <c r="B237" s="5">
        <v>11</v>
      </c>
      <c r="C237" s="5">
        <v>2024</v>
      </c>
      <c r="D237" s="5">
        <v>4</v>
      </c>
      <c r="E237" t="s">
        <v>14</v>
      </c>
      <c r="F237" t="s">
        <v>17</v>
      </c>
      <c r="G237" t="s">
        <v>15</v>
      </c>
      <c r="H237" t="s">
        <v>18</v>
      </c>
      <c r="I237" s="7">
        <v>-20951.86</v>
      </c>
    </row>
    <row r="238" spans="1:10" x14ac:dyDescent="0.3">
      <c r="A238" s="3">
        <v>45615</v>
      </c>
      <c r="B238" s="5">
        <v>11</v>
      </c>
      <c r="C238" s="5">
        <v>2024</v>
      </c>
      <c r="D238" s="5">
        <v>4</v>
      </c>
      <c r="E238" t="s">
        <v>34</v>
      </c>
      <c r="F238" t="s">
        <v>17</v>
      </c>
      <c r="G238" t="s">
        <v>15</v>
      </c>
      <c r="H238" t="s">
        <v>36</v>
      </c>
      <c r="I238" s="7">
        <v>-14878.4</v>
      </c>
    </row>
    <row r="239" spans="1:10" x14ac:dyDescent="0.3">
      <c r="A239" s="3">
        <v>45615</v>
      </c>
      <c r="B239" s="5">
        <v>11</v>
      </c>
      <c r="C239" s="5">
        <v>2024</v>
      </c>
      <c r="D239" s="5">
        <v>4</v>
      </c>
      <c r="E239" t="s">
        <v>19</v>
      </c>
      <c r="F239" t="s">
        <v>17</v>
      </c>
      <c r="G239" t="s">
        <v>74</v>
      </c>
      <c r="H239" t="s">
        <v>78</v>
      </c>
      <c r="I239" s="7">
        <v>-32481.1</v>
      </c>
    </row>
    <row r="240" spans="1:10" x14ac:dyDescent="0.3">
      <c r="A240" s="3">
        <v>45616</v>
      </c>
      <c r="B240" s="5">
        <v>11</v>
      </c>
      <c r="C240" s="5">
        <v>2024</v>
      </c>
      <c r="D240" s="5">
        <v>4</v>
      </c>
      <c r="E240" t="s">
        <v>31</v>
      </c>
      <c r="F240" t="s">
        <v>17</v>
      </c>
      <c r="G240" t="s">
        <v>15</v>
      </c>
      <c r="H240" t="s">
        <v>33</v>
      </c>
      <c r="I240" s="7">
        <v>-3976.28</v>
      </c>
    </row>
    <row r="241" spans="1:10" x14ac:dyDescent="0.3">
      <c r="A241" s="3">
        <v>45616</v>
      </c>
      <c r="B241" s="5">
        <v>11</v>
      </c>
      <c r="C241" s="5">
        <v>2024</v>
      </c>
      <c r="D241" s="5">
        <v>4</v>
      </c>
      <c r="E241" t="s">
        <v>37</v>
      </c>
      <c r="F241" t="s">
        <v>17</v>
      </c>
      <c r="G241" t="s">
        <v>40</v>
      </c>
      <c r="H241" t="s">
        <v>56</v>
      </c>
      <c r="I241" s="7">
        <v>-8538.61</v>
      </c>
    </row>
    <row r="242" spans="1:10" x14ac:dyDescent="0.3">
      <c r="A242" s="3">
        <v>45616</v>
      </c>
      <c r="B242" s="5">
        <v>11</v>
      </c>
      <c r="C242" s="5">
        <v>2024</v>
      </c>
      <c r="D242" s="5">
        <v>4</v>
      </c>
      <c r="E242" t="s">
        <v>19</v>
      </c>
      <c r="F242" t="s">
        <v>10</v>
      </c>
      <c r="G242" t="s">
        <v>57</v>
      </c>
      <c r="H242" t="s">
        <v>60</v>
      </c>
      <c r="I242" s="7">
        <v>28376.09</v>
      </c>
      <c r="J242" s="7">
        <v>26566.27</v>
      </c>
    </row>
    <row r="243" spans="1:10" x14ac:dyDescent="0.3">
      <c r="A243" s="3">
        <v>45617</v>
      </c>
      <c r="B243" s="5">
        <v>11</v>
      </c>
      <c r="C243" s="5">
        <v>2024</v>
      </c>
      <c r="D243" s="5">
        <v>4</v>
      </c>
      <c r="E243" t="s">
        <v>31</v>
      </c>
      <c r="F243" t="s">
        <v>17</v>
      </c>
      <c r="G243" t="s">
        <v>74</v>
      </c>
      <c r="H243" t="s">
        <v>86</v>
      </c>
      <c r="I243" s="7">
        <v>-2378.46</v>
      </c>
    </row>
    <row r="244" spans="1:10" x14ac:dyDescent="0.3">
      <c r="A244" s="3">
        <v>45618</v>
      </c>
      <c r="B244" s="5">
        <v>11</v>
      </c>
      <c r="C244" s="5">
        <v>2024</v>
      </c>
      <c r="D244" s="5">
        <v>4</v>
      </c>
      <c r="E244" t="s">
        <v>37</v>
      </c>
      <c r="F244" t="s">
        <v>10</v>
      </c>
      <c r="G244" t="s">
        <v>15</v>
      </c>
      <c r="H244" t="s">
        <v>38</v>
      </c>
      <c r="I244" s="7">
        <v>8779.0400000000009</v>
      </c>
      <c r="J244" s="7">
        <v>9616.39</v>
      </c>
    </row>
    <row r="245" spans="1:10" x14ac:dyDescent="0.3">
      <c r="A245" s="3">
        <v>45618</v>
      </c>
      <c r="B245" s="5">
        <v>11</v>
      </c>
      <c r="C245" s="5">
        <v>2024</v>
      </c>
      <c r="D245" s="5">
        <v>4</v>
      </c>
      <c r="E245" t="s">
        <v>28</v>
      </c>
      <c r="F245" t="s">
        <v>17</v>
      </c>
      <c r="G245" t="s">
        <v>57</v>
      </c>
      <c r="H245" t="s">
        <v>67</v>
      </c>
      <c r="I245" s="7">
        <v>-11827.769999999999</v>
      </c>
    </row>
    <row r="246" spans="1:10" x14ac:dyDescent="0.3">
      <c r="A246" s="3">
        <v>45619</v>
      </c>
      <c r="B246" s="5">
        <v>11</v>
      </c>
      <c r="C246" s="5">
        <v>2024</v>
      </c>
      <c r="D246" s="5">
        <v>4</v>
      </c>
      <c r="E246" t="s">
        <v>31</v>
      </c>
      <c r="F246" t="s">
        <v>10</v>
      </c>
      <c r="G246" t="s">
        <v>15</v>
      </c>
      <c r="H246" t="s">
        <v>32</v>
      </c>
      <c r="I246" s="7">
        <v>5148.22</v>
      </c>
      <c r="J246" s="7">
        <v>4880.05</v>
      </c>
    </row>
    <row r="247" spans="1:10" x14ac:dyDescent="0.3">
      <c r="A247" s="3">
        <v>45619</v>
      </c>
      <c r="B247" s="5">
        <v>11</v>
      </c>
      <c r="C247" s="5">
        <v>2024</v>
      </c>
      <c r="D247" s="5">
        <v>4</v>
      </c>
      <c r="E247" t="s">
        <v>14</v>
      </c>
      <c r="F247" t="s">
        <v>10</v>
      </c>
      <c r="G247" t="s">
        <v>57</v>
      </c>
      <c r="H247" t="s">
        <v>58</v>
      </c>
      <c r="I247" s="7">
        <v>35655.42</v>
      </c>
      <c r="J247" s="7">
        <v>37427.870000000003</v>
      </c>
    </row>
    <row r="248" spans="1:10" x14ac:dyDescent="0.3">
      <c r="A248" s="3">
        <v>45621</v>
      </c>
      <c r="B248" s="5">
        <v>11</v>
      </c>
      <c r="C248" s="5">
        <v>2024</v>
      </c>
      <c r="D248" s="5">
        <v>4</v>
      </c>
      <c r="E248" t="s">
        <v>28</v>
      </c>
      <c r="F248" t="s">
        <v>10</v>
      </c>
      <c r="G248" t="s">
        <v>57</v>
      </c>
      <c r="H248" t="s">
        <v>66</v>
      </c>
      <c r="I248" s="7">
        <v>21818.19</v>
      </c>
      <c r="J248" s="7">
        <v>23124.06</v>
      </c>
    </row>
    <row r="249" spans="1:10" x14ac:dyDescent="0.3">
      <c r="A249" s="3">
        <v>45622</v>
      </c>
      <c r="B249" s="5">
        <v>11</v>
      </c>
      <c r="C249" s="5">
        <v>2024</v>
      </c>
      <c r="D249" s="5">
        <v>4</v>
      </c>
      <c r="E249" t="s">
        <v>37</v>
      </c>
      <c r="F249" t="s">
        <v>10</v>
      </c>
      <c r="G249" t="s">
        <v>40</v>
      </c>
      <c r="H249" t="s">
        <v>55</v>
      </c>
      <c r="I249" s="7">
        <v>7345.31</v>
      </c>
      <c r="J249" s="7">
        <v>7782.51</v>
      </c>
    </row>
    <row r="250" spans="1:10" x14ac:dyDescent="0.3">
      <c r="A250" s="3">
        <v>45622</v>
      </c>
      <c r="B250" s="5">
        <v>11</v>
      </c>
      <c r="C250" s="5">
        <v>2024</v>
      </c>
      <c r="D250" s="5">
        <v>4</v>
      </c>
      <c r="E250" t="s">
        <v>34</v>
      </c>
      <c r="F250" t="s">
        <v>10</v>
      </c>
      <c r="G250" t="s">
        <v>74</v>
      </c>
      <c r="H250" t="s">
        <v>87</v>
      </c>
      <c r="I250" s="7">
        <v>10606.05</v>
      </c>
      <c r="J250" s="7">
        <v>10473.11</v>
      </c>
    </row>
    <row r="251" spans="1:10" x14ac:dyDescent="0.3">
      <c r="A251" s="3">
        <v>45623</v>
      </c>
      <c r="B251" s="5">
        <v>11</v>
      </c>
      <c r="C251" s="5">
        <v>2024</v>
      </c>
      <c r="D251" s="5">
        <v>4</v>
      </c>
      <c r="E251" t="s">
        <v>14</v>
      </c>
      <c r="F251" t="s">
        <v>17</v>
      </c>
      <c r="G251" t="s">
        <v>74</v>
      </c>
      <c r="H251" t="s">
        <v>76</v>
      </c>
      <c r="I251" s="7">
        <v>-10755.95</v>
      </c>
    </row>
    <row r="252" spans="1:10" x14ac:dyDescent="0.3">
      <c r="A252" s="3">
        <v>45624</v>
      </c>
      <c r="B252" s="5">
        <v>11</v>
      </c>
      <c r="C252" s="5">
        <v>2024</v>
      </c>
      <c r="D252" s="5">
        <v>4</v>
      </c>
      <c r="E252" t="s">
        <v>31</v>
      </c>
      <c r="F252" t="s">
        <v>10</v>
      </c>
      <c r="G252" t="s">
        <v>74</v>
      </c>
      <c r="H252" t="s">
        <v>85</v>
      </c>
      <c r="I252" s="7">
        <v>6328.35</v>
      </c>
      <c r="J252" s="7">
        <v>6833.74</v>
      </c>
    </row>
    <row r="253" spans="1:10" x14ac:dyDescent="0.3">
      <c r="A253" s="3">
        <v>45625</v>
      </c>
      <c r="B253" s="5">
        <v>11</v>
      </c>
      <c r="C253" s="5">
        <v>2024</v>
      </c>
      <c r="D253" s="5">
        <v>4</v>
      </c>
      <c r="E253" t="s">
        <v>25</v>
      </c>
      <c r="F253" t="s">
        <v>10</v>
      </c>
      <c r="G253" t="s">
        <v>74</v>
      </c>
      <c r="H253" t="s">
        <v>81</v>
      </c>
      <c r="I253" s="7">
        <v>7455.95</v>
      </c>
      <c r="J253" s="7">
        <v>8196.6299999999992</v>
      </c>
    </row>
    <row r="254" spans="1:10" x14ac:dyDescent="0.3">
      <c r="A254" s="3">
        <v>45626</v>
      </c>
      <c r="B254" s="5">
        <v>11</v>
      </c>
      <c r="C254" s="5">
        <v>2024</v>
      </c>
      <c r="D254" s="5">
        <v>4</v>
      </c>
      <c r="E254" t="s">
        <v>19</v>
      </c>
      <c r="F254" t="s">
        <v>10</v>
      </c>
      <c r="G254" t="s">
        <v>15</v>
      </c>
      <c r="H254" t="s">
        <v>20</v>
      </c>
      <c r="I254" s="7">
        <v>29641.919999999998</v>
      </c>
      <c r="J254" s="7">
        <v>27791.07</v>
      </c>
    </row>
    <row r="255" spans="1:10" x14ac:dyDescent="0.3">
      <c r="A255" s="3">
        <v>45626</v>
      </c>
      <c r="B255" s="5">
        <v>11</v>
      </c>
      <c r="C255" s="5">
        <v>2024</v>
      </c>
      <c r="D255" s="5">
        <v>4</v>
      </c>
      <c r="E255" t="s">
        <v>14</v>
      </c>
      <c r="F255" t="s">
        <v>10</v>
      </c>
      <c r="G255" t="s">
        <v>40</v>
      </c>
      <c r="H255" t="s">
        <v>41</v>
      </c>
      <c r="I255" s="7">
        <v>33259.24</v>
      </c>
      <c r="J255" s="7">
        <v>34524.67</v>
      </c>
    </row>
    <row r="256" spans="1:10" x14ac:dyDescent="0.3">
      <c r="A256" s="3">
        <v>45626</v>
      </c>
      <c r="B256" s="5">
        <v>11</v>
      </c>
      <c r="C256" s="5">
        <v>2024</v>
      </c>
      <c r="D256" s="5">
        <v>4</v>
      </c>
      <c r="E256" t="s">
        <v>22</v>
      </c>
      <c r="F256" t="s">
        <v>17</v>
      </c>
      <c r="G256" t="s">
        <v>40</v>
      </c>
      <c r="H256" t="s">
        <v>46</v>
      </c>
      <c r="I256" s="7">
        <v>-53877.539999999994</v>
      </c>
    </row>
    <row r="257" spans="1:10" x14ac:dyDescent="0.3">
      <c r="A257" s="3">
        <v>45626</v>
      </c>
      <c r="B257" s="5">
        <v>11</v>
      </c>
      <c r="C257" s="5">
        <v>2024</v>
      </c>
      <c r="D257" s="5">
        <v>4</v>
      </c>
      <c r="E257" t="s">
        <v>31</v>
      </c>
      <c r="F257" t="s">
        <v>10</v>
      </c>
      <c r="G257" t="s">
        <v>40</v>
      </c>
      <c r="H257" t="s">
        <v>51</v>
      </c>
      <c r="I257" s="7">
        <v>5790.07</v>
      </c>
      <c r="J257" s="7">
        <v>5939.19</v>
      </c>
    </row>
    <row r="258" spans="1:10" x14ac:dyDescent="0.3">
      <c r="A258" s="3">
        <v>45627</v>
      </c>
      <c r="B258" s="5">
        <v>12</v>
      </c>
      <c r="C258" s="5">
        <v>2024</v>
      </c>
      <c r="D258" s="5">
        <v>4</v>
      </c>
      <c r="E258" t="s">
        <v>37</v>
      </c>
      <c r="F258" t="s">
        <v>10</v>
      </c>
      <c r="G258" t="s">
        <v>40</v>
      </c>
      <c r="H258" t="s">
        <v>55</v>
      </c>
      <c r="I258" s="7">
        <v>6371.01</v>
      </c>
      <c r="J258" s="7">
        <v>6081.73</v>
      </c>
    </row>
    <row r="259" spans="1:10" x14ac:dyDescent="0.3">
      <c r="A259" s="3">
        <v>45627</v>
      </c>
      <c r="B259" s="5">
        <v>12</v>
      </c>
      <c r="C259" s="5">
        <v>2024</v>
      </c>
      <c r="D259" s="5">
        <v>4</v>
      </c>
      <c r="E259" t="s">
        <v>25</v>
      </c>
      <c r="F259" t="s">
        <v>10</v>
      </c>
      <c r="G259" t="s">
        <v>74</v>
      </c>
      <c r="H259" t="s">
        <v>81</v>
      </c>
      <c r="I259" s="7">
        <v>11014.13</v>
      </c>
      <c r="J259" s="7">
        <v>11742.5</v>
      </c>
    </row>
    <row r="260" spans="1:10" x14ac:dyDescent="0.3">
      <c r="A260" s="3">
        <v>45628</v>
      </c>
      <c r="B260" s="5">
        <v>12</v>
      </c>
      <c r="C260" s="5">
        <v>2024</v>
      </c>
      <c r="D260" s="5">
        <v>4</v>
      </c>
      <c r="E260" t="s">
        <v>22</v>
      </c>
      <c r="F260" t="s">
        <v>10</v>
      </c>
      <c r="G260" t="s">
        <v>40</v>
      </c>
      <c r="H260" t="s">
        <v>45</v>
      </c>
      <c r="I260" s="7">
        <v>30604.91</v>
      </c>
      <c r="J260" s="7">
        <v>31237.26</v>
      </c>
    </row>
    <row r="261" spans="1:10" x14ac:dyDescent="0.3">
      <c r="A261" s="3">
        <v>45628</v>
      </c>
      <c r="B261" s="5">
        <v>12</v>
      </c>
      <c r="C261" s="5">
        <v>2024</v>
      </c>
      <c r="D261" s="5">
        <v>4</v>
      </c>
      <c r="E261" t="s">
        <v>37</v>
      </c>
      <c r="F261" t="s">
        <v>10</v>
      </c>
      <c r="G261" t="s">
        <v>74</v>
      </c>
      <c r="H261" t="s">
        <v>89</v>
      </c>
      <c r="I261" s="7">
        <v>7307.12</v>
      </c>
      <c r="J261" s="7">
        <v>6895.27</v>
      </c>
    </row>
    <row r="262" spans="1:10" x14ac:dyDescent="0.3">
      <c r="A262" s="3">
        <v>45630</v>
      </c>
      <c r="B262" s="5">
        <v>12</v>
      </c>
      <c r="C262" s="5">
        <v>2024</v>
      </c>
      <c r="D262" s="5">
        <v>4</v>
      </c>
      <c r="E262" t="s">
        <v>34</v>
      </c>
      <c r="F262" t="s">
        <v>10</v>
      </c>
      <c r="G262" t="s">
        <v>15</v>
      </c>
      <c r="H262" t="s">
        <v>35</v>
      </c>
      <c r="I262" s="7">
        <v>14789.07</v>
      </c>
      <c r="J262" s="7">
        <v>15512.45</v>
      </c>
    </row>
    <row r="263" spans="1:10" x14ac:dyDescent="0.3">
      <c r="A263" s="3">
        <v>45630</v>
      </c>
      <c r="B263" s="5">
        <v>12</v>
      </c>
      <c r="C263" s="5">
        <v>2024</v>
      </c>
      <c r="D263" s="5">
        <v>4</v>
      </c>
      <c r="E263" t="s">
        <v>28</v>
      </c>
      <c r="F263" t="s">
        <v>10</v>
      </c>
      <c r="G263" t="s">
        <v>74</v>
      </c>
      <c r="H263" t="s">
        <v>83</v>
      </c>
      <c r="I263" s="7">
        <v>16123.52</v>
      </c>
      <c r="J263" s="7">
        <v>16595.22</v>
      </c>
    </row>
    <row r="264" spans="1:10" x14ac:dyDescent="0.3">
      <c r="A264" s="3">
        <v>45631</v>
      </c>
      <c r="B264" s="5">
        <v>12</v>
      </c>
      <c r="C264" s="5">
        <v>2024</v>
      </c>
      <c r="D264" s="5">
        <v>4</v>
      </c>
      <c r="E264" t="s">
        <v>34</v>
      </c>
      <c r="F264" t="s">
        <v>17</v>
      </c>
      <c r="G264" t="s">
        <v>74</v>
      </c>
      <c r="H264" t="s">
        <v>88</v>
      </c>
      <c r="I264" s="7">
        <v>-8518.25</v>
      </c>
    </row>
    <row r="265" spans="1:10" x14ac:dyDescent="0.3">
      <c r="A265" s="3">
        <v>45632</v>
      </c>
      <c r="B265" s="5">
        <v>12</v>
      </c>
      <c r="C265" s="5">
        <v>2024</v>
      </c>
      <c r="D265" s="5">
        <v>4</v>
      </c>
      <c r="E265" t="s">
        <v>37</v>
      </c>
      <c r="F265" t="s">
        <v>17</v>
      </c>
      <c r="G265" t="s">
        <v>15</v>
      </c>
      <c r="H265" t="s">
        <v>39</v>
      </c>
      <c r="I265" s="7">
        <v>-5155.6200000000008</v>
      </c>
    </row>
    <row r="266" spans="1:10" x14ac:dyDescent="0.3">
      <c r="A266" s="3">
        <v>45632</v>
      </c>
      <c r="B266" s="5">
        <v>12</v>
      </c>
      <c r="C266" s="5">
        <v>2024</v>
      </c>
      <c r="D266" s="5">
        <v>4</v>
      </c>
      <c r="E266" t="s">
        <v>19</v>
      </c>
      <c r="F266" t="s">
        <v>17</v>
      </c>
      <c r="G266" t="s">
        <v>40</v>
      </c>
      <c r="H266" t="s">
        <v>44</v>
      </c>
      <c r="I266" s="7">
        <v>-12558.24</v>
      </c>
    </row>
    <row r="267" spans="1:10" x14ac:dyDescent="0.3">
      <c r="A267" s="3">
        <v>45633</v>
      </c>
      <c r="B267" s="5">
        <v>12</v>
      </c>
      <c r="C267" s="5">
        <v>2024</v>
      </c>
      <c r="D267" s="5">
        <v>4</v>
      </c>
      <c r="E267" t="s">
        <v>22</v>
      </c>
      <c r="F267" t="s">
        <v>10</v>
      </c>
      <c r="G267" t="s">
        <v>57</v>
      </c>
      <c r="H267" t="s">
        <v>62</v>
      </c>
      <c r="I267" s="7">
        <v>33689.61</v>
      </c>
      <c r="J267" s="7">
        <v>34296.65</v>
      </c>
    </row>
    <row r="268" spans="1:10" x14ac:dyDescent="0.3">
      <c r="A268" s="3">
        <v>45634</v>
      </c>
      <c r="B268" s="5">
        <v>12</v>
      </c>
      <c r="C268" s="5">
        <v>2024</v>
      </c>
      <c r="D268" s="5">
        <v>4</v>
      </c>
      <c r="E268" t="s">
        <v>22</v>
      </c>
      <c r="F268" t="s">
        <v>10</v>
      </c>
      <c r="G268" t="s">
        <v>15</v>
      </c>
      <c r="H268" t="s">
        <v>23</v>
      </c>
      <c r="I268" s="7">
        <v>30037.62</v>
      </c>
      <c r="J268" s="7">
        <v>28481.82</v>
      </c>
    </row>
    <row r="269" spans="1:10" x14ac:dyDescent="0.3">
      <c r="A269" s="3">
        <v>45634</v>
      </c>
      <c r="B269" s="5">
        <v>12</v>
      </c>
      <c r="C269" s="5">
        <v>2024</v>
      </c>
      <c r="D269" s="5">
        <v>4</v>
      </c>
      <c r="E269" t="s">
        <v>34</v>
      </c>
      <c r="F269" t="s">
        <v>17</v>
      </c>
      <c r="G269" t="s">
        <v>15</v>
      </c>
      <c r="H269" t="s">
        <v>36</v>
      </c>
      <c r="I269" s="7">
        <v>-13052.4</v>
      </c>
    </row>
    <row r="270" spans="1:10" x14ac:dyDescent="0.3">
      <c r="A270" s="3">
        <v>45634</v>
      </c>
      <c r="B270" s="5">
        <v>12</v>
      </c>
      <c r="C270" s="5">
        <v>2024</v>
      </c>
      <c r="D270" s="5">
        <v>4</v>
      </c>
      <c r="E270" t="s">
        <v>14</v>
      </c>
      <c r="F270" t="s">
        <v>17</v>
      </c>
      <c r="G270" t="s">
        <v>74</v>
      </c>
      <c r="H270" t="s">
        <v>76</v>
      </c>
      <c r="I270" s="7">
        <v>-22363.82</v>
      </c>
    </row>
    <row r="271" spans="1:10" x14ac:dyDescent="0.3">
      <c r="A271" s="3">
        <v>45635</v>
      </c>
      <c r="B271" s="5">
        <v>12</v>
      </c>
      <c r="C271" s="5">
        <v>2024</v>
      </c>
      <c r="D271" s="5">
        <v>4</v>
      </c>
      <c r="E271" t="s">
        <v>14</v>
      </c>
      <c r="F271" t="s">
        <v>17</v>
      </c>
      <c r="G271" t="s">
        <v>15</v>
      </c>
      <c r="H271" t="s">
        <v>18</v>
      </c>
      <c r="I271" s="7">
        <v>-38078.99</v>
      </c>
    </row>
    <row r="272" spans="1:10" x14ac:dyDescent="0.3">
      <c r="A272" s="3">
        <v>45635</v>
      </c>
      <c r="B272" s="5">
        <v>12</v>
      </c>
      <c r="C272" s="5">
        <v>2024</v>
      </c>
      <c r="D272" s="5">
        <v>4</v>
      </c>
      <c r="E272" t="s">
        <v>34</v>
      </c>
      <c r="F272" t="s">
        <v>10</v>
      </c>
      <c r="G272" t="s">
        <v>57</v>
      </c>
      <c r="H272" t="s">
        <v>70</v>
      </c>
      <c r="I272" s="7">
        <v>15688.42</v>
      </c>
      <c r="J272" s="7">
        <v>16972.830000000002</v>
      </c>
    </row>
    <row r="273" spans="1:10" x14ac:dyDescent="0.3">
      <c r="A273" s="3">
        <v>45635</v>
      </c>
      <c r="B273" s="5">
        <v>12</v>
      </c>
      <c r="C273" s="5">
        <v>2024</v>
      </c>
      <c r="D273" s="5">
        <v>4</v>
      </c>
      <c r="E273" t="s">
        <v>34</v>
      </c>
      <c r="F273" t="s">
        <v>17</v>
      </c>
      <c r="G273" t="s">
        <v>57</v>
      </c>
      <c r="H273" t="s">
        <v>71</v>
      </c>
      <c r="I273" s="7">
        <v>-20392.599999999999</v>
      </c>
    </row>
    <row r="274" spans="1:10" x14ac:dyDescent="0.3">
      <c r="A274" s="3">
        <v>45636</v>
      </c>
      <c r="B274" s="5">
        <v>12</v>
      </c>
      <c r="C274" s="5">
        <v>2024</v>
      </c>
      <c r="D274" s="5">
        <v>4</v>
      </c>
      <c r="E274" t="s">
        <v>37</v>
      </c>
      <c r="F274" t="s">
        <v>10</v>
      </c>
      <c r="G274" t="s">
        <v>15</v>
      </c>
      <c r="H274" t="s">
        <v>38</v>
      </c>
      <c r="I274" s="7">
        <v>8053.1</v>
      </c>
      <c r="J274" s="7">
        <v>8432.64</v>
      </c>
    </row>
    <row r="275" spans="1:10" x14ac:dyDescent="0.3">
      <c r="A275" s="3">
        <v>45636</v>
      </c>
      <c r="B275" s="5">
        <v>12</v>
      </c>
      <c r="C275" s="5">
        <v>2024</v>
      </c>
      <c r="D275" s="5">
        <v>4</v>
      </c>
      <c r="E275" t="s">
        <v>14</v>
      </c>
      <c r="F275" t="s">
        <v>17</v>
      </c>
      <c r="G275" t="s">
        <v>57</v>
      </c>
      <c r="H275" t="s">
        <v>59</v>
      </c>
      <c r="I275" s="7">
        <v>-23602.26</v>
      </c>
    </row>
    <row r="276" spans="1:10" x14ac:dyDescent="0.3">
      <c r="A276" s="3">
        <v>45636</v>
      </c>
      <c r="B276" s="5">
        <v>12</v>
      </c>
      <c r="C276" s="5">
        <v>2024</v>
      </c>
      <c r="D276" s="5">
        <v>4</v>
      </c>
      <c r="E276" t="s">
        <v>22</v>
      </c>
      <c r="F276" t="s">
        <v>17</v>
      </c>
      <c r="G276" t="s">
        <v>57</v>
      </c>
      <c r="H276" t="s">
        <v>63</v>
      </c>
      <c r="I276" s="7">
        <v>-10762.37</v>
      </c>
    </row>
    <row r="277" spans="1:10" x14ac:dyDescent="0.3">
      <c r="A277" s="3">
        <v>45636</v>
      </c>
      <c r="B277" s="5">
        <v>12</v>
      </c>
      <c r="C277" s="5">
        <v>2024</v>
      </c>
      <c r="D277" s="5">
        <v>4</v>
      </c>
      <c r="E277" t="s">
        <v>37</v>
      </c>
      <c r="F277" t="s">
        <v>17</v>
      </c>
      <c r="G277" t="s">
        <v>57</v>
      </c>
      <c r="H277" t="s">
        <v>73</v>
      </c>
      <c r="I277" s="7">
        <v>-3742.98</v>
      </c>
    </row>
    <row r="278" spans="1:10" x14ac:dyDescent="0.3">
      <c r="A278" s="3">
        <v>45636</v>
      </c>
      <c r="B278" s="5">
        <v>12</v>
      </c>
      <c r="C278" s="5">
        <v>2024</v>
      </c>
      <c r="D278" s="5">
        <v>4</v>
      </c>
      <c r="E278" t="s">
        <v>31</v>
      </c>
      <c r="F278" t="s">
        <v>10</v>
      </c>
      <c r="G278" t="s">
        <v>74</v>
      </c>
      <c r="H278" t="s">
        <v>85</v>
      </c>
      <c r="I278" s="7">
        <v>5763.38</v>
      </c>
      <c r="J278" s="7">
        <v>6036.64</v>
      </c>
    </row>
    <row r="279" spans="1:10" x14ac:dyDescent="0.3">
      <c r="A279" s="3">
        <v>45637</v>
      </c>
      <c r="B279" s="5">
        <v>12</v>
      </c>
      <c r="C279" s="5">
        <v>2024</v>
      </c>
      <c r="D279" s="5">
        <v>4</v>
      </c>
      <c r="E279" t="s">
        <v>22</v>
      </c>
      <c r="F279" t="s">
        <v>17</v>
      </c>
      <c r="G279" t="s">
        <v>40</v>
      </c>
      <c r="H279" t="s">
        <v>46</v>
      </c>
      <c r="I279" s="7">
        <v>-20757.95</v>
      </c>
    </row>
    <row r="280" spans="1:10" x14ac:dyDescent="0.3">
      <c r="A280" s="3">
        <v>45637</v>
      </c>
      <c r="B280" s="5">
        <v>12</v>
      </c>
      <c r="C280" s="5">
        <v>2024</v>
      </c>
      <c r="D280" s="5">
        <v>4</v>
      </c>
      <c r="E280" t="s">
        <v>14</v>
      </c>
      <c r="F280" t="s">
        <v>10</v>
      </c>
      <c r="G280" t="s">
        <v>74</v>
      </c>
      <c r="H280" t="s">
        <v>75</v>
      </c>
      <c r="I280" s="7">
        <v>34861.15</v>
      </c>
      <c r="J280" s="7">
        <v>33697.72</v>
      </c>
    </row>
    <row r="281" spans="1:10" x14ac:dyDescent="0.3">
      <c r="A281" s="3">
        <v>45638</v>
      </c>
      <c r="B281" s="5">
        <v>12</v>
      </c>
      <c r="C281" s="5">
        <v>2024</v>
      </c>
      <c r="D281" s="5">
        <v>4</v>
      </c>
      <c r="E281" t="s">
        <v>25</v>
      </c>
      <c r="F281" t="s">
        <v>17</v>
      </c>
      <c r="G281" t="s">
        <v>40</v>
      </c>
      <c r="H281" t="s">
        <v>48</v>
      </c>
      <c r="I281" s="7">
        <v>-5106.92</v>
      </c>
    </row>
    <row r="282" spans="1:10" x14ac:dyDescent="0.3">
      <c r="A282" s="3">
        <v>45639</v>
      </c>
      <c r="B282" s="5">
        <v>12</v>
      </c>
      <c r="C282" s="5">
        <v>2024</v>
      </c>
      <c r="D282" s="5">
        <v>4</v>
      </c>
      <c r="E282" t="s">
        <v>19</v>
      </c>
      <c r="F282" t="s">
        <v>17</v>
      </c>
      <c r="G282" t="s">
        <v>15</v>
      </c>
      <c r="H282" t="s">
        <v>21</v>
      </c>
      <c r="I282" s="7">
        <v>-10529.34</v>
      </c>
    </row>
    <row r="283" spans="1:10" x14ac:dyDescent="0.3">
      <c r="A283" s="3">
        <v>45639</v>
      </c>
      <c r="B283" s="5">
        <v>12</v>
      </c>
      <c r="C283" s="5">
        <v>2024</v>
      </c>
      <c r="D283" s="5">
        <v>4</v>
      </c>
      <c r="E283" t="s">
        <v>25</v>
      </c>
      <c r="F283" t="s">
        <v>17</v>
      </c>
      <c r="G283" t="s">
        <v>15</v>
      </c>
      <c r="H283" t="s">
        <v>27</v>
      </c>
      <c r="I283" s="7">
        <v>-5496.56</v>
      </c>
    </row>
    <row r="284" spans="1:10" x14ac:dyDescent="0.3">
      <c r="A284" s="3">
        <v>45639</v>
      </c>
      <c r="B284" s="5">
        <v>12</v>
      </c>
      <c r="C284" s="5">
        <v>2024</v>
      </c>
      <c r="D284" s="5">
        <v>4</v>
      </c>
      <c r="E284" t="s">
        <v>31</v>
      </c>
      <c r="F284" t="s">
        <v>10</v>
      </c>
      <c r="G284" t="s">
        <v>40</v>
      </c>
      <c r="H284" t="s">
        <v>51</v>
      </c>
      <c r="I284" s="7">
        <v>6734.53</v>
      </c>
      <c r="J284" s="7">
        <v>7057</v>
      </c>
    </row>
    <row r="285" spans="1:10" x14ac:dyDescent="0.3">
      <c r="A285" s="3">
        <v>45640</v>
      </c>
      <c r="B285" s="5">
        <v>12</v>
      </c>
      <c r="C285" s="5">
        <v>2024</v>
      </c>
      <c r="D285" s="5">
        <v>4</v>
      </c>
      <c r="E285" t="s">
        <v>19</v>
      </c>
      <c r="F285" t="s">
        <v>10</v>
      </c>
      <c r="G285" t="s">
        <v>15</v>
      </c>
      <c r="H285" t="s">
        <v>20</v>
      </c>
      <c r="I285" s="7">
        <v>26206.53</v>
      </c>
      <c r="J285" s="7">
        <v>27257.040000000001</v>
      </c>
    </row>
    <row r="286" spans="1:10" x14ac:dyDescent="0.3">
      <c r="A286" s="3">
        <v>45640</v>
      </c>
      <c r="B286" s="5">
        <v>12</v>
      </c>
      <c r="C286" s="5">
        <v>2024</v>
      </c>
      <c r="D286" s="5">
        <v>4</v>
      </c>
      <c r="E286" t="s">
        <v>37</v>
      </c>
      <c r="F286" t="s">
        <v>17</v>
      </c>
      <c r="G286" t="s">
        <v>40</v>
      </c>
      <c r="H286" t="s">
        <v>56</v>
      </c>
      <c r="I286" s="7">
        <v>-9360.75</v>
      </c>
    </row>
    <row r="287" spans="1:10" x14ac:dyDescent="0.3">
      <c r="A287" s="3">
        <v>45641</v>
      </c>
      <c r="B287" s="5">
        <v>12</v>
      </c>
      <c r="C287" s="5">
        <v>2024</v>
      </c>
      <c r="D287" s="5">
        <v>4</v>
      </c>
      <c r="E287" t="s">
        <v>19</v>
      </c>
      <c r="F287" t="s">
        <v>10</v>
      </c>
      <c r="G287" t="s">
        <v>74</v>
      </c>
      <c r="H287" t="s">
        <v>77</v>
      </c>
      <c r="I287" s="7">
        <v>20262.98</v>
      </c>
      <c r="J287" s="7">
        <v>20305.48</v>
      </c>
    </row>
    <row r="288" spans="1:10" x14ac:dyDescent="0.3">
      <c r="A288" s="3">
        <v>45642</v>
      </c>
      <c r="B288" s="5">
        <v>12</v>
      </c>
      <c r="C288" s="5">
        <v>2024</v>
      </c>
      <c r="D288" s="5">
        <v>4</v>
      </c>
      <c r="E288" t="s">
        <v>28</v>
      </c>
      <c r="F288" t="s">
        <v>17</v>
      </c>
      <c r="G288" t="s">
        <v>40</v>
      </c>
      <c r="H288" t="s">
        <v>50</v>
      </c>
      <c r="I288" s="7">
        <v>-23090.6</v>
      </c>
    </row>
    <row r="289" spans="1:10" x14ac:dyDescent="0.3">
      <c r="A289" s="3">
        <v>45642</v>
      </c>
      <c r="B289" s="5">
        <v>12</v>
      </c>
      <c r="C289" s="5">
        <v>2024</v>
      </c>
      <c r="D289" s="5">
        <v>4</v>
      </c>
      <c r="E289" t="s">
        <v>28</v>
      </c>
      <c r="F289" t="s">
        <v>17</v>
      </c>
      <c r="G289" t="s">
        <v>57</v>
      </c>
      <c r="H289" t="s">
        <v>67</v>
      </c>
      <c r="I289" s="7">
        <v>-12324.37</v>
      </c>
    </row>
    <row r="290" spans="1:10" x14ac:dyDescent="0.3">
      <c r="A290" s="3">
        <v>45642</v>
      </c>
      <c r="B290" s="5">
        <v>12</v>
      </c>
      <c r="C290" s="5">
        <v>2024</v>
      </c>
      <c r="D290" s="5">
        <v>4</v>
      </c>
      <c r="E290" t="s">
        <v>22</v>
      </c>
      <c r="F290" t="s">
        <v>17</v>
      </c>
      <c r="G290" t="s">
        <v>74</v>
      </c>
      <c r="H290" t="s">
        <v>80</v>
      </c>
      <c r="I290" s="7">
        <v>-40902.79</v>
      </c>
    </row>
    <row r="291" spans="1:10" x14ac:dyDescent="0.3">
      <c r="A291" s="3">
        <v>45642</v>
      </c>
      <c r="B291" s="5">
        <v>12</v>
      </c>
      <c r="C291" s="5">
        <v>2024</v>
      </c>
      <c r="D291" s="5">
        <v>4</v>
      </c>
      <c r="E291" t="s">
        <v>28</v>
      </c>
      <c r="F291" t="s">
        <v>17</v>
      </c>
      <c r="G291" t="s">
        <v>74</v>
      </c>
      <c r="H291" t="s">
        <v>84</v>
      </c>
      <c r="I291" s="7">
        <v>-20516.830000000002</v>
      </c>
    </row>
    <row r="292" spans="1:10" x14ac:dyDescent="0.3">
      <c r="A292" s="3">
        <v>45643</v>
      </c>
      <c r="B292" s="5">
        <v>12</v>
      </c>
      <c r="C292" s="5">
        <v>2024</v>
      </c>
      <c r="D292" s="5">
        <v>4</v>
      </c>
      <c r="E292" t="s">
        <v>31</v>
      </c>
      <c r="F292" t="s">
        <v>10</v>
      </c>
      <c r="G292" t="s">
        <v>15</v>
      </c>
      <c r="H292" t="s">
        <v>32</v>
      </c>
      <c r="I292" s="7">
        <v>4856.41</v>
      </c>
      <c r="J292" s="7">
        <v>5047.1000000000004</v>
      </c>
    </row>
    <row r="293" spans="1:10" x14ac:dyDescent="0.3">
      <c r="A293" s="3">
        <v>45643</v>
      </c>
      <c r="B293" s="5">
        <v>12</v>
      </c>
      <c r="C293" s="5">
        <v>2024</v>
      </c>
      <c r="D293" s="5">
        <v>4</v>
      </c>
      <c r="E293" t="s">
        <v>25</v>
      </c>
      <c r="F293" t="s">
        <v>10</v>
      </c>
      <c r="G293" t="s">
        <v>57</v>
      </c>
      <c r="H293" t="s">
        <v>64</v>
      </c>
      <c r="I293" s="7">
        <v>9744.24</v>
      </c>
      <c r="J293" s="7">
        <v>9161.85</v>
      </c>
    </row>
    <row r="294" spans="1:10" x14ac:dyDescent="0.3">
      <c r="A294" s="3">
        <v>45643</v>
      </c>
      <c r="B294" s="5">
        <v>12</v>
      </c>
      <c r="C294" s="5">
        <v>2024</v>
      </c>
      <c r="D294" s="5">
        <v>4</v>
      </c>
      <c r="E294" t="s">
        <v>22</v>
      </c>
      <c r="F294" t="s">
        <v>10</v>
      </c>
      <c r="G294" t="s">
        <v>74</v>
      </c>
      <c r="H294" t="s">
        <v>79</v>
      </c>
      <c r="I294" s="7">
        <v>26704.94</v>
      </c>
      <c r="J294" s="7">
        <v>28156.04</v>
      </c>
    </row>
    <row r="295" spans="1:10" x14ac:dyDescent="0.3">
      <c r="A295" s="3">
        <v>45644</v>
      </c>
      <c r="B295" s="5">
        <v>12</v>
      </c>
      <c r="C295" s="5">
        <v>2024</v>
      </c>
      <c r="D295" s="5">
        <v>4</v>
      </c>
      <c r="E295" t="s">
        <v>19</v>
      </c>
      <c r="F295" t="s">
        <v>10</v>
      </c>
      <c r="G295" t="s">
        <v>40</v>
      </c>
      <c r="H295" t="s">
        <v>43</v>
      </c>
      <c r="I295" s="7">
        <v>22942.87</v>
      </c>
      <c r="J295" s="7">
        <v>22024.9</v>
      </c>
    </row>
    <row r="296" spans="1:10" x14ac:dyDescent="0.3">
      <c r="A296" s="3">
        <v>45644</v>
      </c>
      <c r="B296" s="5">
        <v>12</v>
      </c>
      <c r="C296" s="5">
        <v>2024</v>
      </c>
      <c r="D296" s="5">
        <v>4</v>
      </c>
      <c r="E296" t="s">
        <v>34</v>
      </c>
      <c r="F296" t="s">
        <v>17</v>
      </c>
      <c r="G296" t="s">
        <v>40</v>
      </c>
      <c r="H296" t="s">
        <v>54</v>
      </c>
      <c r="I296" s="7">
        <v>-15972.58</v>
      </c>
    </row>
    <row r="297" spans="1:10" x14ac:dyDescent="0.3">
      <c r="A297" s="3">
        <v>45644</v>
      </c>
      <c r="B297" s="5">
        <v>12</v>
      </c>
      <c r="C297" s="5">
        <v>2024</v>
      </c>
      <c r="D297" s="5">
        <v>4</v>
      </c>
      <c r="E297" t="s">
        <v>37</v>
      </c>
      <c r="F297" t="s">
        <v>10</v>
      </c>
      <c r="G297" t="s">
        <v>57</v>
      </c>
      <c r="H297" t="s">
        <v>72</v>
      </c>
      <c r="I297" s="7">
        <v>5811.42</v>
      </c>
      <c r="J297" s="7">
        <v>5888.44</v>
      </c>
    </row>
    <row r="298" spans="1:10" x14ac:dyDescent="0.3">
      <c r="A298" s="3">
        <v>45645</v>
      </c>
      <c r="B298" s="5">
        <v>12</v>
      </c>
      <c r="C298" s="5">
        <v>2024</v>
      </c>
      <c r="D298" s="5">
        <v>4</v>
      </c>
      <c r="E298" t="s">
        <v>14</v>
      </c>
      <c r="F298" t="s">
        <v>10</v>
      </c>
      <c r="G298" t="s">
        <v>57</v>
      </c>
      <c r="H298" t="s">
        <v>58</v>
      </c>
      <c r="I298" s="7">
        <v>38532.550000000003</v>
      </c>
      <c r="J298" s="7">
        <v>37306.269999999997</v>
      </c>
    </row>
    <row r="299" spans="1:10" x14ac:dyDescent="0.3">
      <c r="A299" s="3">
        <v>45646</v>
      </c>
      <c r="B299" s="5">
        <v>12</v>
      </c>
      <c r="C299" s="5">
        <v>2024</v>
      </c>
      <c r="D299" s="5">
        <v>4</v>
      </c>
      <c r="E299" t="s">
        <v>14</v>
      </c>
      <c r="F299" t="s">
        <v>10</v>
      </c>
      <c r="G299" t="s">
        <v>15</v>
      </c>
      <c r="H299" t="s">
        <v>16</v>
      </c>
      <c r="I299" s="7">
        <v>29689.07</v>
      </c>
      <c r="J299" s="7">
        <v>30041.85</v>
      </c>
    </row>
    <row r="300" spans="1:10" x14ac:dyDescent="0.3">
      <c r="A300" s="3">
        <v>45646</v>
      </c>
      <c r="B300" s="5">
        <v>12</v>
      </c>
      <c r="C300" s="5">
        <v>2024</v>
      </c>
      <c r="D300" s="5">
        <v>4</v>
      </c>
      <c r="E300" t="s">
        <v>22</v>
      </c>
      <c r="F300" t="s">
        <v>17</v>
      </c>
      <c r="G300" t="s">
        <v>15</v>
      </c>
      <c r="H300" t="s">
        <v>24</v>
      </c>
      <c r="I300" s="7">
        <v>-15401.1</v>
      </c>
    </row>
    <row r="301" spans="1:10" x14ac:dyDescent="0.3">
      <c r="A301" s="3">
        <v>45646</v>
      </c>
      <c r="B301" s="5">
        <v>12</v>
      </c>
      <c r="C301" s="5">
        <v>2024</v>
      </c>
      <c r="D301" s="5">
        <v>4</v>
      </c>
      <c r="E301" t="s">
        <v>25</v>
      </c>
      <c r="F301" t="s">
        <v>10</v>
      </c>
      <c r="G301" t="s">
        <v>15</v>
      </c>
      <c r="H301" t="s">
        <v>26</v>
      </c>
      <c r="I301" s="7">
        <v>9755.93</v>
      </c>
      <c r="J301" s="7">
        <v>9366.74</v>
      </c>
    </row>
    <row r="302" spans="1:10" x14ac:dyDescent="0.3">
      <c r="A302" s="3">
        <v>45646</v>
      </c>
      <c r="B302" s="5">
        <v>12</v>
      </c>
      <c r="C302" s="5">
        <v>2024</v>
      </c>
      <c r="D302" s="5">
        <v>4</v>
      </c>
      <c r="E302" t="s">
        <v>14</v>
      </c>
      <c r="F302" t="s">
        <v>10</v>
      </c>
      <c r="G302" t="s">
        <v>40</v>
      </c>
      <c r="H302" t="s">
        <v>41</v>
      </c>
      <c r="I302" s="7">
        <v>29344.49</v>
      </c>
      <c r="J302" s="7">
        <v>27637.49</v>
      </c>
    </row>
    <row r="303" spans="1:10" x14ac:dyDescent="0.3">
      <c r="A303" s="3">
        <v>45646</v>
      </c>
      <c r="B303" s="5">
        <v>12</v>
      </c>
      <c r="C303" s="5">
        <v>2024</v>
      </c>
      <c r="D303" s="5">
        <v>4</v>
      </c>
      <c r="E303" t="s">
        <v>31</v>
      </c>
      <c r="F303" t="s">
        <v>17</v>
      </c>
      <c r="G303" t="s">
        <v>57</v>
      </c>
      <c r="H303" t="s">
        <v>69</v>
      </c>
      <c r="I303" s="7">
        <v>-4656.53</v>
      </c>
    </row>
    <row r="304" spans="1:10" x14ac:dyDescent="0.3">
      <c r="A304" s="3">
        <v>45646</v>
      </c>
      <c r="B304" s="5">
        <v>12</v>
      </c>
      <c r="C304" s="5">
        <v>2024</v>
      </c>
      <c r="D304" s="5">
        <v>4</v>
      </c>
      <c r="E304" t="s">
        <v>25</v>
      </c>
      <c r="F304" t="s">
        <v>17</v>
      </c>
      <c r="G304" t="s">
        <v>74</v>
      </c>
      <c r="H304" t="s">
        <v>82</v>
      </c>
      <c r="I304" s="7">
        <v>-5177.07</v>
      </c>
    </row>
    <row r="305" spans="1:10" x14ac:dyDescent="0.3">
      <c r="A305" s="3">
        <v>45647</v>
      </c>
      <c r="B305" s="5">
        <v>12</v>
      </c>
      <c r="C305" s="5">
        <v>2024</v>
      </c>
      <c r="D305" s="5">
        <v>4</v>
      </c>
      <c r="E305" t="s">
        <v>28</v>
      </c>
      <c r="F305" t="s">
        <v>10</v>
      </c>
      <c r="G305" t="s">
        <v>40</v>
      </c>
      <c r="H305" t="s">
        <v>49</v>
      </c>
      <c r="I305" s="7">
        <v>17434.990000000002</v>
      </c>
      <c r="J305" s="7">
        <v>18296.45</v>
      </c>
    </row>
    <row r="306" spans="1:10" x14ac:dyDescent="0.3">
      <c r="A306" s="3">
        <v>45647</v>
      </c>
      <c r="B306" s="5">
        <v>12</v>
      </c>
      <c r="C306" s="5">
        <v>2024</v>
      </c>
      <c r="D306" s="5">
        <v>4</v>
      </c>
      <c r="E306" t="s">
        <v>28</v>
      </c>
      <c r="F306" t="s">
        <v>10</v>
      </c>
      <c r="G306" t="s">
        <v>57</v>
      </c>
      <c r="H306" t="s">
        <v>66</v>
      </c>
      <c r="I306" s="7">
        <v>14744.3</v>
      </c>
      <c r="J306" s="7">
        <v>15513.43</v>
      </c>
    </row>
    <row r="307" spans="1:10" x14ac:dyDescent="0.3">
      <c r="A307" s="3">
        <v>45648</v>
      </c>
      <c r="B307" s="5">
        <v>12</v>
      </c>
      <c r="C307" s="5">
        <v>2024</v>
      </c>
      <c r="D307" s="5">
        <v>4</v>
      </c>
      <c r="E307" t="s">
        <v>19</v>
      </c>
      <c r="F307" t="s">
        <v>17</v>
      </c>
      <c r="G307" t="s">
        <v>57</v>
      </c>
      <c r="H307" t="s">
        <v>61</v>
      </c>
      <c r="I307" s="7">
        <v>-15164.99</v>
      </c>
    </row>
    <row r="308" spans="1:10" x14ac:dyDescent="0.3">
      <c r="A308" s="3">
        <v>45648</v>
      </c>
      <c r="B308" s="5">
        <v>12</v>
      </c>
      <c r="C308" s="5">
        <v>2024</v>
      </c>
      <c r="D308" s="5">
        <v>4</v>
      </c>
      <c r="E308" t="s">
        <v>31</v>
      </c>
      <c r="F308" t="s">
        <v>17</v>
      </c>
      <c r="G308" t="s">
        <v>74</v>
      </c>
      <c r="H308" t="s">
        <v>86</v>
      </c>
      <c r="I308" s="7">
        <v>-2959.49</v>
      </c>
    </row>
    <row r="309" spans="1:10" x14ac:dyDescent="0.3">
      <c r="A309" s="3">
        <v>45648</v>
      </c>
      <c r="B309" s="5">
        <v>12</v>
      </c>
      <c r="C309" s="5">
        <v>2024</v>
      </c>
      <c r="D309" s="5">
        <v>4</v>
      </c>
      <c r="E309" t="s">
        <v>34</v>
      </c>
      <c r="F309" t="s">
        <v>10</v>
      </c>
      <c r="G309" t="s">
        <v>74</v>
      </c>
      <c r="H309" t="s">
        <v>87</v>
      </c>
      <c r="I309" s="7">
        <v>11813.64</v>
      </c>
      <c r="J309" s="7">
        <v>11774.86</v>
      </c>
    </row>
    <row r="310" spans="1:10" x14ac:dyDescent="0.3">
      <c r="A310" s="3">
        <v>45649</v>
      </c>
      <c r="B310" s="5">
        <v>12</v>
      </c>
      <c r="C310" s="5">
        <v>2024</v>
      </c>
      <c r="D310" s="5">
        <v>4</v>
      </c>
      <c r="E310" t="s">
        <v>28</v>
      </c>
      <c r="F310" t="s">
        <v>17</v>
      </c>
      <c r="G310" t="s">
        <v>15</v>
      </c>
      <c r="H310" t="s">
        <v>30</v>
      </c>
      <c r="I310" s="7">
        <v>-13269.73</v>
      </c>
    </row>
    <row r="311" spans="1:10" x14ac:dyDescent="0.3">
      <c r="A311" s="3">
        <v>45649</v>
      </c>
      <c r="B311" s="5">
        <v>12</v>
      </c>
      <c r="C311" s="5">
        <v>2024</v>
      </c>
      <c r="D311" s="5">
        <v>4</v>
      </c>
      <c r="E311" t="s">
        <v>31</v>
      </c>
      <c r="F311" t="s">
        <v>17</v>
      </c>
      <c r="G311" t="s">
        <v>15</v>
      </c>
      <c r="H311" t="s">
        <v>33</v>
      </c>
      <c r="I311" s="7">
        <v>-3405.16</v>
      </c>
    </row>
    <row r="312" spans="1:10" x14ac:dyDescent="0.3">
      <c r="A312" s="3">
        <v>45649</v>
      </c>
      <c r="B312" s="5">
        <v>12</v>
      </c>
      <c r="C312" s="5">
        <v>2024</v>
      </c>
      <c r="D312" s="5">
        <v>4</v>
      </c>
      <c r="E312" t="s">
        <v>31</v>
      </c>
      <c r="F312" t="s">
        <v>10</v>
      </c>
      <c r="G312" t="s">
        <v>57</v>
      </c>
      <c r="H312" t="s">
        <v>68</v>
      </c>
      <c r="I312" s="7">
        <v>5921.36</v>
      </c>
      <c r="J312" s="7">
        <v>5966.1</v>
      </c>
    </row>
    <row r="313" spans="1:10" x14ac:dyDescent="0.3">
      <c r="A313" s="3">
        <v>45650</v>
      </c>
      <c r="B313" s="5">
        <v>12</v>
      </c>
      <c r="C313" s="5">
        <v>2024</v>
      </c>
      <c r="D313" s="5">
        <v>4</v>
      </c>
      <c r="E313" t="s">
        <v>28</v>
      </c>
      <c r="F313" t="s">
        <v>10</v>
      </c>
      <c r="G313" t="s">
        <v>15</v>
      </c>
      <c r="H313" t="s">
        <v>29</v>
      </c>
      <c r="I313" s="7">
        <v>18992.95</v>
      </c>
      <c r="J313" s="7">
        <v>18598.93</v>
      </c>
    </row>
    <row r="314" spans="1:10" x14ac:dyDescent="0.3">
      <c r="A314" s="3">
        <v>45650</v>
      </c>
      <c r="B314" s="5">
        <v>12</v>
      </c>
      <c r="C314" s="5">
        <v>2024</v>
      </c>
      <c r="D314" s="5">
        <v>4</v>
      </c>
      <c r="E314" t="s">
        <v>25</v>
      </c>
      <c r="F314" t="s">
        <v>10</v>
      </c>
      <c r="G314" t="s">
        <v>40</v>
      </c>
      <c r="H314" t="s">
        <v>47</v>
      </c>
      <c r="I314" s="7">
        <v>9828.49</v>
      </c>
      <c r="J314" s="7">
        <v>10419.969999999999</v>
      </c>
    </row>
    <row r="315" spans="1:10" x14ac:dyDescent="0.3">
      <c r="A315" s="3">
        <v>45650</v>
      </c>
      <c r="B315" s="5">
        <v>12</v>
      </c>
      <c r="C315" s="5">
        <v>2024</v>
      </c>
      <c r="D315" s="5">
        <v>4</v>
      </c>
      <c r="E315" t="s">
        <v>31</v>
      </c>
      <c r="F315" t="s">
        <v>17</v>
      </c>
      <c r="G315" t="s">
        <v>40</v>
      </c>
      <c r="H315" t="s">
        <v>52</v>
      </c>
      <c r="I315" s="7">
        <v>-5153.18</v>
      </c>
    </row>
    <row r="316" spans="1:10" x14ac:dyDescent="0.3">
      <c r="A316" s="3">
        <v>45653</v>
      </c>
      <c r="B316" s="5">
        <v>12</v>
      </c>
      <c r="C316" s="5">
        <v>2024</v>
      </c>
      <c r="D316" s="5">
        <v>4</v>
      </c>
      <c r="E316" t="s">
        <v>25</v>
      </c>
      <c r="F316" t="s">
        <v>17</v>
      </c>
      <c r="G316" t="s">
        <v>57</v>
      </c>
      <c r="H316" t="s">
        <v>65</v>
      </c>
      <c r="I316" s="7">
        <v>-10284.040000000001</v>
      </c>
    </row>
    <row r="317" spans="1:10" x14ac:dyDescent="0.3">
      <c r="A317" s="3">
        <v>45653</v>
      </c>
      <c r="B317" s="5">
        <v>12</v>
      </c>
      <c r="C317" s="5">
        <v>2024</v>
      </c>
      <c r="D317" s="5">
        <v>4</v>
      </c>
      <c r="E317" t="s">
        <v>37</v>
      </c>
      <c r="F317" t="s">
        <v>17</v>
      </c>
      <c r="G317" t="s">
        <v>74</v>
      </c>
      <c r="H317" t="s">
        <v>90</v>
      </c>
      <c r="I317" s="7">
        <v>-4969.28</v>
      </c>
    </row>
    <row r="318" spans="1:10" x14ac:dyDescent="0.3">
      <c r="A318" s="3">
        <v>45655</v>
      </c>
      <c r="B318" s="5">
        <v>12</v>
      </c>
      <c r="C318" s="5">
        <v>2024</v>
      </c>
      <c r="D318" s="5">
        <v>4</v>
      </c>
      <c r="E318" t="s">
        <v>14</v>
      </c>
      <c r="F318" t="s">
        <v>17</v>
      </c>
      <c r="G318" t="s">
        <v>40</v>
      </c>
      <c r="H318" t="s">
        <v>42</v>
      </c>
      <c r="I318" s="7">
        <v>-15015.1</v>
      </c>
    </row>
    <row r="319" spans="1:10" x14ac:dyDescent="0.3">
      <c r="A319" s="3">
        <v>45655</v>
      </c>
      <c r="B319" s="5">
        <v>12</v>
      </c>
      <c r="C319" s="5">
        <v>2024</v>
      </c>
      <c r="D319" s="5">
        <v>4</v>
      </c>
      <c r="E319" t="s">
        <v>34</v>
      </c>
      <c r="F319" t="s">
        <v>10</v>
      </c>
      <c r="G319" t="s">
        <v>40</v>
      </c>
      <c r="H319" t="s">
        <v>53</v>
      </c>
      <c r="I319" s="7">
        <v>11399.3</v>
      </c>
      <c r="J319" s="7">
        <v>10878.11</v>
      </c>
    </row>
    <row r="320" spans="1:10" x14ac:dyDescent="0.3">
      <c r="A320" s="3">
        <v>45656</v>
      </c>
      <c r="B320" s="5">
        <v>12</v>
      </c>
      <c r="C320" s="5">
        <v>2024</v>
      </c>
      <c r="D320" s="5">
        <v>4</v>
      </c>
      <c r="E320" t="s">
        <v>19</v>
      </c>
      <c r="F320" t="s">
        <v>17</v>
      </c>
      <c r="G320" t="s">
        <v>74</v>
      </c>
      <c r="H320" t="s">
        <v>78</v>
      </c>
      <c r="I320" s="7">
        <v>-8477.31</v>
      </c>
    </row>
    <row r="321" spans="1:10" x14ac:dyDescent="0.3">
      <c r="A321" s="3">
        <v>45657</v>
      </c>
      <c r="B321" s="5">
        <v>12</v>
      </c>
      <c r="C321" s="5">
        <v>2024</v>
      </c>
      <c r="D321" s="5">
        <v>4</v>
      </c>
      <c r="E321" t="s">
        <v>19</v>
      </c>
      <c r="F321" t="s">
        <v>10</v>
      </c>
      <c r="G321" t="s">
        <v>57</v>
      </c>
      <c r="H321" t="s">
        <v>60</v>
      </c>
      <c r="I321" s="7">
        <v>20743.509999999998</v>
      </c>
      <c r="J321" s="7">
        <v>19825.66</v>
      </c>
    </row>
    <row r="322" spans="1:10" x14ac:dyDescent="0.3">
      <c r="A322" s="3">
        <v>45658</v>
      </c>
      <c r="B322" s="5">
        <v>1</v>
      </c>
      <c r="C322" s="5">
        <v>2025</v>
      </c>
      <c r="D322" s="5">
        <v>1</v>
      </c>
      <c r="E322" t="s">
        <v>22</v>
      </c>
      <c r="F322" t="s">
        <v>10</v>
      </c>
      <c r="G322" t="s">
        <v>57</v>
      </c>
      <c r="H322" t="s">
        <v>62</v>
      </c>
      <c r="I322" s="7">
        <v>25344.76</v>
      </c>
      <c r="J322" s="7">
        <v>27614.03</v>
      </c>
    </row>
    <row r="323" spans="1:10" x14ac:dyDescent="0.3">
      <c r="A323" s="3">
        <v>45658</v>
      </c>
      <c r="B323" s="5">
        <v>1</v>
      </c>
      <c r="C323" s="5">
        <v>2025</v>
      </c>
      <c r="D323" s="5">
        <v>1</v>
      </c>
      <c r="E323" t="s">
        <v>37</v>
      </c>
      <c r="F323" t="s">
        <v>17</v>
      </c>
      <c r="G323" t="s">
        <v>57</v>
      </c>
      <c r="H323" t="s">
        <v>73</v>
      </c>
      <c r="I323" s="7">
        <v>-5230.13</v>
      </c>
    </row>
    <row r="324" spans="1:10" x14ac:dyDescent="0.3">
      <c r="A324" s="3">
        <v>45658</v>
      </c>
      <c r="B324" s="5">
        <v>1</v>
      </c>
      <c r="C324" s="5">
        <v>2025</v>
      </c>
      <c r="D324" s="5">
        <v>1</v>
      </c>
      <c r="E324" t="s">
        <v>37</v>
      </c>
      <c r="F324" t="s">
        <v>10</v>
      </c>
      <c r="G324" t="s">
        <v>74</v>
      </c>
      <c r="H324" t="s">
        <v>89</v>
      </c>
      <c r="I324" s="7">
        <v>4895.6899999999996</v>
      </c>
      <c r="J324" s="7">
        <v>5226.3500000000004</v>
      </c>
    </row>
    <row r="325" spans="1:10" x14ac:dyDescent="0.3">
      <c r="A325" s="3">
        <v>45659</v>
      </c>
      <c r="B325" s="5">
        <v>1</v>
      </c>
      <c r="C325" s="5">
        <v>2025</v>
      </c>
      <c r="D325" s="5">
        <v>1</v>
      </c>
      <c r="E325" t="s">
        <v>19</v>
      </c>
      <c r="F325" t="s">
        <v>10</v>
      </c>
      <c r="G325" t="s">
        <v>15</v>
      </c>
      <c r="H325" t="s">
        <v>20</v>
      </c>
      <c r="I325" s="7">
        <v>18387.21</v>
      </c>
      <c r="J325" s="7">
        <v>18436.939999999999</v>
      </c>
    </row>
    <row r="326" spans="1:10" x14ac:dyDescent="0.3">
      <c r="A326" s="3">
        <v>45659</v>
      </c>
      <c r="B326" s="5">
        <v>1</v>
      </c>
      <c r="C326" s="5">
        <v>2025</v>
      </c>
      <c r="D326" s="5">
        <v>1</v>
      </c>
      <c r="E326" t="s">
        <v>25</v>
      </c>
      <c r="F326" t="s">
        <v>17</v>
      </c>
      <c r="G326" t="s">
        <v>57</v>
      </c>
      <c r="H326" t="s">
        <v>65</v>
      </c>
      <c r="I326" s="7">
        <v>-5150.21</v>
      </c>
    </row>
    <row r="327" spans="1:10" x14ac:dyDescent="0.3">
      <c r="A327" s="3">
        <v>45660</v>
      </c>
      <c r="B327" s="5">
        <v>1</v>
      </c>
      <c r="C327" s="5">
        <v>2025</v>
      </c>
      <c r="D327" s="5">
        <v>1</v>
      </c>
      <c r="E327" t="s">
        <v>25</v>
      </c>
      <c r="F327" t="s">
        <v>10</v>
      </c>
      <c r="G327" t="s">
        <v>15</v>
      </c>
      <c r="H327" t="s">
        <v>26</v>
      </c>
      <c r="I327" s="7">
        <v>7793.43</v>
      </c>
      <c r="J327" s="7">
        <v>8222.8700000000008</v>
      </c>
    </row>
    <row r="328" spans="1:10" x14ac:dyDescent="0.3">
      <c r="A328" s="3">
        <v>45660</v>
      </c>
      <c r="B328" s="5">
        <v>1</v>
      </c>
      <c r="C328" s="5">
        <v>2025</v>
      </c>
      <c r="D328" s="5">
        <v>1</v>
      </c>
      <c r="E328" t="s">
        <v>14</v>
      </c>
      <c r="F328" t="s">
        <v>10</v>
      </c>
      <c r="G328" t="s">
        <v>40</v>
      </c>
      <c r="H328" t="s">
        <v>41</v>
      </c>
      <c r="I328" s="7">
        <v>21952.400000000001</v>
      </c>
      <c r="J328" s="7">
        <v>23833.3</v>
      </c>
    </row>
    <row r="329" spans="1:10" x14ac:dyDescent="0.3">
      <c r="A329" s="3">
        <v>45660</v>
      </c>
      <c r="B329" s="5">
        <v>1</v>
      </c>
      <c r="C329" s="5">
        <v>2025</v>
      </c>
      <c r="D329" s="5">
        <v>1</v>
      </c>
      <c r="E329" t="s">
        <v>22</v>
      </c>
      <c r="F329" t="s">
        <v>17</v>
      </c>
      <c r="G329" t="s">
        <v>57</v>
      </c>
      <c r="H329" t="s">
        <v>63</v>
      </c>
      <c r="I329" s="7">
        <v>-14324.740000000002</v>
      </c>
    </row>
    <row r="330" spans="1:10" x14ac:dyDescent="0.3">
      <c r="A330" s="3">
        <v>45660</v>
      </c>
      <c r="B330" s="5">
        <v>1</v>
      </c>
      <c r="C330" s="5">
        <v>2025</v>
      </c>
      <c r="D330" s="5">
        <v>1</v>
      </c>
      <c r="E330" t="s">
        <v>28</v>
      </c>
      <c r="F330" t="s">
        <v>17</v>
      </c>
      <c r="G330" t="s">
        <v>74</v>
      </c>
      <c r="H330" t="s">
        <v>84</v>
      </c>
      <c r="I330" s="7">
        <v>-11199.2</v>
      </c>
    </row>
    <row r="331" spans="1:10" x14ac:dyDescent="0.3">
      <c r="A331" s="3">
        <v>45661</v>
      </c>
      <c r="B331" s="5">
        <v>1</v>
      </c>
      <c r="C331" s="5">
        <v>2025</v>
      </c>
      <c r="D331" s="5">
        <v>1</v>
      </c>
      <c r="E331" t="s">
        <v>28</v>
      </c>
      <c r="F331" t="s">
        <v>17</v>
      </c>
      <c r="G331" t="s">
        <v>57</v>
      </c>
      <c r="H331" t="s">
        <v>67</v>
      </c>
      <c r="I331" s="7">
        <v>-21210.76</v>
      </c>
    </row>
    <row r="332" spans="1:10" x14ac:dyDescent="0.3">
      <c r="A332" s="3">
        <v>45662</v>
      </c>
      <c r="B332" s="5">
        <v>1</v>
      </c>
      <c r="C332" s="5">
        <v>2025</v>
      </c>
      <c r="D332" s="5">
        <v>1</v>
      </c>
      <c r="E332" t="s">
        <v>19</v>
      </c>
      <c r="F332" t="s">
        <v>10</v>
      </c>
      <c r="G332" t="s">
        <v>57</v>
      </c>
      <c r="H332" t="s">
        <v>60</v>
      </c>
      <c r="I332" s="7">
        <v>20575.75</v>
      </c>
      <c r="J332" s="7">
        <v>21794.35</v>
      </c>
    </row>
    <row r="333" spans="1:10" x14ac:dyDescent="0.3">
      <c r="A333" s="3">
        <v>45662</v>
      </c>
      <c r="B333" s="5">
        <v>1</v>
      </c>
      <c r="C333" s="5">
        <v>2025</v>
      </c>
      <c r="D333" s="5">
        <v>1</v>
      </c>
      <c r="E333" t="s">
        <v>19</v>
      </c>
      <c r="F333" t="s">
        <v>17</v>
      </c>
      <c r="G333" t="s">
        <v>57</v>
      </c>
      <c r="H333" t="s">
        <v>61</v>
      </c>
      <c r="I333" s="7">
        <v>-13543.18</v>
      </c>
    </row>
    <row r="334" spans="1:10" x14ac:dyDescent="0.3">
      <c r="A334" s="3">
        <v>45662</v>
      </c>
      <c r="B334" s="5">
        <v>1</v>
      </c>
      <c r="C334" s="5">
        <v>2025</v>
      </c>
      <c r="D334" s="5">
        <v>1</v>
      </c>
      <c r="E334" t="s">
        <v>14</v>
      </c>
      <c r="F334" t="s">
        <v>17</v>
      </c>
      <c r="G334" t="s">
        <v>74</v>
      </c>
      <c r="H334" t="s">
        <v>76</v>
      </c>
      <c r="I334" s="7">
        <v>-10393.56</v>
      </c>
    </row>
    <row r="335" spans="1:10" x14ac:dyDescent="0.3">
      <c r="A335" s="3">
        <v>45663</v>
      </c>
      <c r="B335" s="5">
        <v>1</v>
      </c>
      <c r="C335" s="5">
        <v>2025</v>
      </c>
      <c r="D335" s="5">
        <v>1</v>
      </c>
      <c r="E335" t="s">
        <v>31</v>
      </c>
      <c r="F335" t="s">
        <v>17</v>
      </c>
      <c r="G335" t="s">
        <v>57</v>
      </c>
      <c r="H335" t="s">
        <v>69</v>
      </c>
      <c r="I335" s="7">
        <v>-1996.79</v>
      </c>
    </row>
    <row r="336" spans="1:10" x14ac:dyDescent="0.3">
      <c r="A336" s="3">
        <v>45664</v>
      </c>
      <c r="B336" s="5">
        <v>1</v>
      </c>
      <c r="C336" s="5">
        <v>2025</v>
      </c>
      <c r="D336" s="5">
        <v>1</v>
      </c>
      <c r="E336" t="s">
        <v>25</v>
      </c>
      <c r="F336" t="s">
        <v>17</v>
      </c>
      <c r="G336" t="s">
        <v>40</v>
      </c>
      <c r="H336" t="s">
        <v>48</v>
      </c>
      <c r="I336" s="7">
        <v>-7320.62</v>
      </c>
    </row>
    <row r="337" spans="1:10" x14ac:dyDescent="0.3">
      <c r="A337" s="3">
        <v>45666</v>
      </c>
      <c r="B337" s="5">
        <v>1</v>
      </c>
      <c r="C337" s="5">
        <v>2025</v>
      </c>
      <c r="D337" s="5">
        <v>1</v>
      </c>
      <c r="E337" t="s">
        <v>19</v>
      </c>
      <c r="F337" t="s">
        <v>10</v>
      </c>
      <c r="G337" t="s">
        <v>40</v>
      </c>
      <c r="H337" t="s">
        <v>43</v>
      </c>
      <c r="I337" s="7">
        <v>16335.62</v>
      </c>
      <c r="J337" s="7">
        <v>17374.22</v>
      </c>
    </row>
    <row r="338" spans="1:10" x14ac:dyDescent="0.3">
      <c r="A338" s="3">
        <v>45666</v>
      </c>
      <c r="B338" s="5">
        <v>1</v>
      </c>
      <c r="C338" s="5">
        <v>2025</v>
      </c>
      <c r="D338" s="5">
        <v>1</v>
      </c>
      <c r="E338" t="s">
        <v>34</v>
      </c>
      <c r="F338" t="s">
        <v>10</v>
      </c>
      <c r="G338" t="s">
        <v>40</v>
      </c>
      <c r="H338" t="s">
        <v>53</v>
      </c>
      <c r="I338" s="7">
        <v>13025.78</v>
      </c>
      <c r="J338" s="7">
        <v>12852.07</v>
      </c>
    </row>
    <row r="339" spans="1:10" x14ac:dyDescent="0.3">
      <c r="A339" s="3">
        <v>45666</v>
      </c>
      <c r="B339" s="5">
        <v>1</v>
      </c>
      <c r="C339" s="5">
        <v>2025</v>
      </c>
      <c r="D339" s="5">
        <v>1</v>
      </c>
      <c r="E339" t="s">
        <v>28</v>
      </c>
      <c r="F339" t="s">
        <v>10</v>
      </c>
      <c r="G339" t="s">
        <v>57</v>
      </c>
      <c r="H339" t="s">
        <v>66</v>
      </c>
      <c r="I339" s="7">
        <v>14296.64</v>
      </c>
      <c r="J339" s="7">
        <v>15618.03</v>
      </c>
    </row>
    <row r="340" spans="1:10" x14ac:dyDescent="0.3">
      <c r="A340" s="3">
        <v>45668</v>
      </c>
      <c r="B340" s="5">
        <v>1</v>
      </c>
      <c r="C340" s="5">
        <v>2025</v>
      </c>
      <c r="D340" s="5">
        <v>1</v>
      </c>
      <c r="E340" t="s">
        <v>31</v>
      </c>
      <c r="F340" t="s">
        <v>10</v>
      </c>
      <c r="G340" t="s">
        <v>15</v>
      </c>
      <c r="H340" t="s">
        <v>32</v>
      </c>
      <c r="I340" s="7">
        <v>5088.3</v>
      </c>
      <c r="J340" s="7">
        <v>4997.47</v>
      </c>
    </row>
    <row r="341" spans="1:10" x14ac:dyDescent="0.3">
      <c r="A341" s="3">
        <v>45668</v>
      </c>
      <c r="B341" s="5">
        <v>1</v>
      </c>
      <c r="C341" s="5">
        <v>2025</v>
      </c>
      <c r="D341" s="5">
        <v>1</v>
      </c>
      <c r="E341" t="s">
        <v>34</v>
      </c>
      <c r="F341" t="s">
        <v>10</v>
      </c>
      <c r="G341" t="s">
        <v>15</v>
      </c>
      <c r="H341" t="s">
        <v>35</v>
      </c>
      <c r="I341" s="7">
        <v>14010.72</v>
      </c>
      <c r="J341" s="7">
        <v>13242.53</v>
      </c>
    </row>
    <row r="342" spans="1:10" x14ac:dyDescent="0.3">
      <c r="A342" s="3">
        <v>45668</v>
      </c>
      <c r="B342" s="5">
        <v>1</v>
      </c>
      <c r="C342" s="5">
        <v>2025</v>
      </c>
      <c r="D342" s="5">
        <v>1</v>
      </c>
      <c r="E342" t="s">
        <v>28</v>
      </c>
      <c r="F342" t="s">
        <v>10</v>
      </c>
      <c r="G342" t="s">
        <v>40</v>
      </c>
      <c r="H342" t="s">
        <v>49</v>
      </c>
      <c r="I342" s="7">
        <v>18072.580000000002</v>
      </c>
      <c r="J342" s="7">
        <v>18110.259999999998</v>
      </c>
    </row>
    <row r="343" spans="1:10" x14ac:dyDescent="0.3">
      <c r="A343" s="3">
        <v>45670</v>
      </c>
      <c r="B343" s="5">
        <v>1</v>
      </c>
      <c r="C343" s="5">
        <v>2025</v>
      </c>
      <c r="D343" s="5">
        <v>1</v>
      </c>
      <c r="E343" t="s">
        <v>22</v>
      </c>
      <c r="F343" t="s">
        <v>17</v>
      </c>
      <c r="G343" t="s">
        <v>15</v>
      </c>
      <c r="H343" t="s">
        <v>24</v>
      </c>
      <c r="I343" s="7">
        <v>-17311.740000000002</v>
      </c>
    </row>
    <row r="344" spans="1:10" x14ac:dyDescent="0.3">
      <c r="A344" s="3">
        <v>45670</v>
      </c>
      <c r="B344" s="5">
        <v>1</v>
      </c>
      <c r="C344" s="5">
        <v>2025</v>
      </c>
      <c r="D344" s="5">
        <v>1</v>
      </c>
      <c r="E344" t="s">
        <v>34</v>
      </c>
      <c r="F344" t="s">
        <v>10</v>
      </c>
      <c r="G344" t="s">
        <v>74</v>
      </c>
      <c r="H344" t="s">
        <v>87</v>
      </c>
      <c r="I344" s="7">
        <v>11591.19</v>
      </c>
      <c r="J344" s="7">
        <v>12716.97</v>
      </c>
    </row>
    <row r="345" spans="1:10" x14ac:dyDescent="0.3">
      <c r="A345" s="3">
        <v>45671</v>
      </c>
      <c r="B345" s="5">
        <v>1</v>
      </c>
      <c r="C345" s="5">
        <v>2025</v>
      </c>
      <c r="D345" s="5">
        <v>1</v>
      </c>
      <c r="E345" t="s">
        <v>25</v>
      </c>
      <c r="F345" t="s">
        <v>17</v>
      </c>
      <c r="G345" t="s">
        <v>15</v>
      </c>
      <c r="H345" t="s">
        <v>27</v>
      </c>
      <c r="I345" s="7">
        <v>-3029.26</v>
      </c>
    </row>
    <row r="346" spans="1:10" x14ac:dyDescent="0.3">
      <c r="A346" s="3">
        <v>45671</v>
      </c>
      <c r="B346" s="5">
        <v>1</v>
      </c>
      <c r="C346" s="5">
        <v>2025</v>
      </c>
      <c r="D346" s="5">
        <v>1</v>
      </c>
      <c r="E346" t="s">
        <v>37</v>
      </c>
      <c r="F346" t="s">
        <v>10</v>
      </c>
      <c r="G346" t="s">
        <v>15</v>
      </c>
      <c r="H346" t="s">
        <v>38</v>
      </c>
      <c r="I346" s="7">
        <v>4960.3900000000003</v>
      </c>
      <c r="J346" s="7">
        <v>4759.9799999999996</v>
      </c>
    </row>
    <row r="347" spans="1:10" x14ac:dyDescent="0.3">
      <c r="A347" s="3">
        <v>45671</v>
      </c>
      <c r="B347" s="5">
        <v>1</v>
      </c>
      <c r="C347" s="5">
        <v>2025</v>
      </c>
      <c r="D347" s="5">
        <v>1</v>
      </c>
      <c r="E347" t="s">
        <v>37</v>
      </c>
      <c r="F347" t="s">
        <v>17</v>
      </c>
      <c r="G347" t="s">
        <v>15</v>
      </c>
      <c r="H347" t="s">
        <v>39</v>
      </c>
      <c r="I347" s="7">
        <v>-5661.2</v>
      </c>
    </row>
    <row r="348" spans="1:10" x14ac:dyDescent="0.3">
      <c r="A348" s="3">
        <v>45671</v>
      </c>
      <c r="B348" s="5">
        <v>1</v>
      </c>
      <c r="C348" s="5">
        <v>2025</v>
      </c>
      <c r="D348" s="5">
        <v>1</v>
      </c>
      <c r="E348" t="s">
        <v>34</v>
      </c>
      <c r="F348" t="s">
        <v>17</v>
      </c>
      <c r="G348" t="s">
        <v>74</v>
      </c>
      <c r="H348" t="s">
        <v>88</v>
      </c>
      <c r="I348" s="7">
        <v>-6238.55</v>
      </c>
    </row>
    <row r="349" spans="1:10" x14ac:dyDescent="0.3">
      <c r="A349" s="3">
        <v>45672</v>
      </c>
      <c r="B349" s="5">
        <v>1</v>
      </c>
      <c r="C349" s="5">
        <v>2025</v>
      </c>
      <c r="D349" s="5">
        <v>1</v>
      </c>
      <c r="E349" t="s">
        <v>22</v>
      </c>
      <c r="F349" t="s">
        <v>10</v>
      </c>
      <c r="G349" t="s">
        <v>40</v>
      </c>
      <c r="H349" t="s">
        <v>45</v>
      </c>
      <c r="I349" s="7">
        <v>24181.77</v>
      </c>
      <c r="J349" s="7">
        <v>25555.8</v>
      </c>
    </row>
    <row r="350" spans="1:10" x14ac:dyDescent="0.3">
      <c r="A350" s="3">
        <v>45673</v>
      </c>
      <c r="B350" s="5">
        <v>1</v>
      </c>
      <c r="C350" s="5">
        <v>2025</v>
      </c>
      <c r="D350" s="5">
        <v>1</v>
      </c>
      <c r="E350" t="s">
        <v>19</v>
      </c>
      <c r="F350" t="s">
        <v>17</v>
      </c>
      <c r="G350" t="s">
        <v>15</v>
      </c>
      <c r="H350" t="s">
        <v>21</v>
      </c>
      <c r="I350" s="7">
        <v>-24631.48</v>
      </c>
    </row>
    <row r="351" spans="1:10" x14ac:dyDescent="0.3">
      <c r="A351" s="3">
        <v>45673</v>
      </c>
      <c r="B351" s="5">
        <v>1</v>
      </c>
      <c r="C351" s="5">
        <v>2025</v>
      </c>
      <c r="D351" s="5">
        <v>1</v>
      </c>
      <c r="E351" t="s">
        <v>22</v>
      </c>
      <c r="F351" t="s">
        <v>17</v>
      </c>
      <c r="G351" t="s">
        <v>40</v>
      </c>
      <c r="H351" t="s">
        <v>46</v>
      </c>
      <c r="I351" s="7">
        <v>-11264.98</v>
      </c>
    </row>
    <row r="352" spans="1:10" x14ac:dyDescent="0.3">
      <c r="A352" s="3">
        <v>45674</v>
      </c>
      <c r="B352" s="5">
        <v>1</v>
      </c>
      <c r="C352" s="5">
        <v>2025</v>
      </c>
      <c r="D352" s="5">
        <v>1</v>
      </c>
      <c r="E352" t="s">
        <v>14</v>
      </c>
      <c r="F352" t="s">
        <v>10</v>
      </c>
      <c r="G352" t="s">
        <v>15</v>
      </c>
      <c r="H352" t="s">
        <v>16</v>
      </c>
      <c r="I352" s="7">
        <v>25011.31</v>
      </c>
      <c r="J352" s="7">
        <v>27325.48</v>
      </c>
    </row>
    <row r="353" spans="1:10" x14ac:dyDescent="0.3">
      <c r="A353" s="3">
        <v>45674</v>
      </c>
      <c r="B353" s="5">
        <v>1</v>
      </c>
      <c r="C353" s="5">
        <v>2025</v>
      </c>
      <c r="D353" s="5">
        <v>1</v>
      </c>
      <c r="E353" t="s">
        <v>19</v>
      </c>
      <c r="F353" t="s">
        <v>17</v>
      </c>
      <c r="G353" t="s">
        <v>40</v>
      </c>
      <c r="H353" t="s">
        <v>44</v>
      </c>
      <c r="I353" s="7">
        <v>-23154.57</v>
      </c>
    </row>
    <row r="354" spans="1:10" x14ac:dyDescent="0.3">
      <c r="A354" s="3">
        <v>45675</v>
      </c>
      <c r="B354" s="5">
        <v>1</v>
      </c>
      <c r="C354" s="5">
        <v>2025</v>
      </c>
      <c r="D354" s="5">
        <v>1</v>
      </c>
      <c r="E354" t="s">
        <v>14</v>
      </c>
      <c r="F354" t="s">
        <v>10</v>
      </c>
      <c r="G354" t="s">
        <v>57</v>
      </c>
      <c r="H354" t="s">
        <v>58</v>
      </c>
      <c r="I354" s="7">
        <v>30974.89</v>
      </c>
      <c r="J354" s="7">
        <v>30717.71</v>
      </c>
    </row>
    <row r="355" spans="1:10" x14ac:dyDescent="0.3">
      <c r="A355" s="3">
        <v>45676</v>
      </c>
      <c r="B355" s="5">
        <v>1</v>
      </c>
      <c r="C355" s="5">
        <v>2025</v>
      </c>
      <c r="D355" s="5">
        <v>1</v>
      </c>
      <c r="E355" t="s">
        <v>14</v>
      </c>
      <c r="F355" t="s">
        <v>10</v>
      </c>
      <c r="G355" t="s">
        <v>74</v>
      </c>
      <c r="H355" t="s">
        <v>75</v>
      </c>
      <c r="I355" s="7">
        <v>29149.39</v>
      </c>
      <c r="J355" s="7">
        <v>27583.7</v>
      </c>
    </row>
    <row r="356" spans="1:10" x14ac:dyDescent="0.3">
      <c r="A356" s="3">
        <v>45677</v>
      </c>
      <c r="B356" s="5">
        <v>1</v>
      </c>
      <c r="C356" s="5">
        <v>2025</v>
      </c>
      <c r="D356" s="5">
        <v>1</v>
      </c>
      <c r="E356" t="s">
        <v>28</v>
      </c>
      <c r="F356" t="s">
        <v>17</v>
      </c>
      <c r="G356" t="s">
        <v>40</v>
      </c>
      <c r="H356" t="s">
        <v>50</v>
      </c>
      <c r="I356" s="7">
        <v>-11578.96</v>
      </c>
    </row>
    <row r="357" spans="1:10" x14ac:dyDescent="0.3">
      <c r="A357" s="3">
        <v>45677</v>
      </c>
      <c r="B357" s="5">
        <v>1</v>
      </c>
      <c r="C357" s="5">
        <v>2025</v>
      </c>
      <c r="D357" s="5">
        <v>1</v>
      </c>
      <c r="E357" t="s">
        <v>34</v>
      </c>
      <c r="F357" t="s">
        <v>17</v>
      </c>
      <c r="G357" t="s">
        <v>40</v>
      </c>
      <c r="H357" t="s">
        <v>54</v>
      </c>
      <c r="I357" s="7">
        <v>-18563.55</v>
      </c>
    </row>
    <row r="358" spans="1:10" x14ac:dyDescent="0.3">
      <c r="A358" s="3">
        <v>45678</v>
      </c>
      <c r="B358" s="5">
        <v>1</v>
      </c>
      <c r="C358" s="5">
        <v>2025</v>
      </c>
      <c r="D358" s="5">
        <v>1</v>
      </c>
      <c r="E358" t="s">
        <v>14</v>
      </c>
      <c r="F358" t="s">
        <v>17</v>
      </c>
      <c r="G358" t="s">
        <v>57</v>
      </c>
      <c r="H358" t="s">
        <v>59</v>
      </c>
      <c r="I358" s="7">
        <v>-33145.82</v>
      </c>
    </row>
    <row r="359" spans="1:10" x14ac:dyDescent="0.3">
      <c r="A359" s="3">
        <v>45678</v>
      </c>
      <c r="B359" s="5">
        <v>1</v>
      </c>
      <c r="C359" s="5">
        <v>2025</v>
      </c>
      <c r="D359" s="5">
        <v>1</v>
      </c>
      <c r="E359" t="s">
        <v>31</v>
      </c>
      <c r="F359" t="s">
        <v>10</v>
      </c>
      <c r="G359" t="s">
        <v>74</v>
      </c>
      <c r="H359" t="s">
        <v>85</v>
      </c>
      <c r="I359" s="7">
        <v>3389.57</v>
      </c>
      <c r="J359" s="7">
        <v>3491.48</v>
      </c>
    </row>
    <row r="360" spans="1:10" x14ac:dyDescent="0.3">
      <c r="A360" s="3">
        <v>45679</v>
      </c>
      <c r="B360" s="5">
        <v>1</v>
      </c>
      <c r="C360" s="5">
        <v>2025</v>
      </c>
      <c r="D360" s="5">
        <v>1</v>
      </c>
      <c r="E360" t="s">
        <v>22</v>
      </c>
      <c r="F360" t="s">
        <v>10</v>
      </c>
      <c r="G360" t="s">
        <v>15</v>
      </c>
      <c r="H360" t="s">
        <v>23</v>
      </c>
      <c r="I360" s="7">
        <v>26524.97</v>
      </c>
      <c r="J360" s="7">
        <v>25298.93</v>
      </c>
    </row>
    <row r="361" spans="1:10" x14ac:dyDescent="0.3">
      <c r="A361" s="3">
        <v>45679</v>
      </c>
      <c r="B361" s="5">
        <v>1</v>
      </c>
      <c r="C361" s="5">
        <v>2025</v>
      </c>
      <c r="D361" s="5">
        <v>1</v>
      </c>
      <c r="E361" t="s">
        <v>37</v>
      </c>
      <c r="F361" t="s">
        <v>10</v>
      </c>
      <c r="G361" t="s">
        <v>40</v>
      </c>
      <c r="H361" t="s">
        <v>55</v>
      </c>
      <c r="I361" s="7">
        <v>5556.95</v>
      </c>
      <c r="J361" s="7">
        <v>5388.29</v>
      </c>
    </row>
    <row r="362" spans="1:10" x14ac:dyDescent="0.3">
      <c r="A362" s="3">
        <v>45679</v>
      </c>
      <c r="B362" s="5">
        <v>1</v>
      </c>
      <c r="C362" s="5">
        <v>2025</v>
      </c>
      <c r="D362" s="5">
        <v>1</v>
      </c>
      <c r="E362" t="s">
        <v>34</v>
      </c>
      <c r="F362" t="s">
        <v>10</v>
      </c>
      <c r="G362" t="s">
        <v>57</v>
      </c>
      <c r="H362" t="s">
        <v>70</v>
      </c>
      <c r="I362" s="7">
        <v>10698.49</v>
      </c>
      <c r="J362" s="7">
        <v>10956.03</v>
      </c>
    </row>
    <row r="363" spans="1:10" x14ac:dyDescent="0.3">
      <c r="A363" s="3">
        <v>45679</v>
      </c>
      <c r="B363" s="5">
        <v>1</v>
      </c>
      <c r="C363" s="5">
        <v>2025</v>
      </c>
      <c r="D363" s="5">
        <v>1</v>
      </c>
      <c r="E363" t="s">
        <v>37</v>
      </c>
      <c r="F363" t="s">
        <v>10</v>
      </c>
      <c r="G363" t="s">
        <v>57</v>
      </c>
      <c r="H363" t="s">
        <v>72</v>
      </c>
      <c r="I363" s="7">
        <v>6085.32</v>
      </c>
      <c r="J363" s="7">
        <v>5671.79</v>
      </c>
    </row>
    <row r="364" spans="1:10" x14ac:dyDescent="0.3">
      <c r="A364" s="3">
        <v>45679</v>
      </c>
      <c r="B364" s="5">
        <v>1</v>
      </c>
      <c r="C364" s="5">
        <v>2025</v>
      </c>
      <c r="D364" s="5">
        <v>1</v>
      </c>
      <c r="E364" t="s">
        <v>28</v>
      </c>
      <c r="F364" t="s">
        <v>10</v>
      </c>
      <c r="G364" t="s">
        <v>74</v>
      </c>
      <c r="H364" t="s">
        <v>83</v>
      </c>
      <c r="I364" s="7">
        <v>14276.77</v>
      </c>
      <c r="J364" s="7">
        <v>13652.42</v>
      </c>
    </row>
    <row r="365" spans="1:10" x14ac:dyDescent="0.3">
      <c r="A365" s="3">
        <v>45679</v>
      </c>
      <c r="B365" s="5">
        <v>1</v>
      </c>
      <c r="C365" s="5">
        <v>2025</v>
      </c>
      <c r="D365" s="5">
        <v>1</v>
      </c>
      <c r="E365" t="s">
        <v>37</v>
      </c>
      <c r="F365" t="s">
        <v>17</v>
      </c>
      <c r="G365" t="s">
        <v>74</v>
      </c>
      <c r="H365" t="s">
        <v>90</v>
      </c>
      <c r="I365" s="7">
        <v>-3097.27</v>
      </c>
    </row>
    <row r="366" spans="1:10" x14ac:dyDescent="0.3">
      <c r="A366" s="3">
        <v>45680</v>
      </c>
      <c r="B366" s="5">
        <v>1</v>
      </c>
      <c r="C366" s="5">
        <v>2025</v>
      </c>
      <c r="D366" s="5">
        <v>1</v>
      </c>
      <c r="E366" t="s">
        <v>28</v>
      </c>
      <c r="F366" t="s">
        <v>10</v>
      </c>
      <c r="G366" t="s">
        <v>15</v>
      </c>
      <c r="H366" t="s">
        <v>29</v>
      </c>
      <c r="I366" s="7">
        <v>14094.71</v>
      </c>
      <c r="J366" s="7">
        <v>14269.64</v>
      </c>
    </row>
    <row r="367" spans="1:10" x14ac:dyDescent="0.3">
      <c r="A367" s="3">
        <v>45680</v>
      </c>
      <c r="B367" s="5">
        <v>1</v>
      </c>
      <c r="C367" s="5">
        <v>2025</v>
      </c>
      <c r="D367" s="5">
        <v>1</v>
      </c>
      <c r="E367" t="s">
        <v>34</v>
      </c>
      <c r="F367" t="s">
        <v>17</v>
      </c>
      <c r="G367" t="s">
        <v>57</v>
      </c>
      <c r="H367" t="s">
        <v>71</v>
      </c>
      <c r="I367" s="7">
        <v>-16465.34</v>
      </c>
    </row>
    <row r="368" spans="1:10" x14ac:dyDescent="0.3">
      <c r="A368" s="3">
        <v>45680</v>
      </c>
      <c r="B368" s="5">
        <v>1</v>
      </c>
      <c r="C368" s="5">
        <v>2025</v>
      </c>
      <c r="D368" s="5">
        <v>1</v>
      </c>
      <c r="E368" t="s">
        <v>25</v>
      </c>
      <c r="F368" t="s">
        <v>10</v>
      </c>
      <c r="G368" t="s">
        <v>74</v>
      </c>
      <c r="H368" t="s">
        <v>81</v>
      </c>
      <c r="I368" s="7">
        <v>8568.1299999999992</v>
      </c>
      <c r="J368" s="7">
        <v>8517.2000000000007</v>
      </c>
    </row>
    <row r="369" spans="1:10" x14ac:dyDescent="0.3">
      <c r="A369" s="3">
        <v>45680</v>
      </c>
      <c r="B369" s="5">
        <v>1</v>
      </c>
      <c r="C369" s="5">
        <v>2025</v>
      </c>
      <c r="D369" s="5">
        <v>1</v>
      </c>
      <c r="E369" t="s">
        <v>31</v>
      </c>
      <c r="F369" t="s">
        <v>17</v>
      </c>
      <c r="G369" t="s">
        <v>74</v>
      </c>
      <c r="H369" t="s">
        <v>86</v>
      </c>
      <c r="I369" s="7">
        <v>-2203.09</v>
      </c>
    </row>
    <row r="370" spans="1:10" x14ac:dyDescent="0.3">
      <c r="A370" s="3">
        <v>45681</v>
      </c>
      <c r="B370" s="5">
        <v>1</v>
      </c>
      <c r="C370" s="5">
        <v>2025</v>
      </c>
      <c r="D370" s="5">
        <v>1</v>
      </c>
      <c r="E370" t="s">
        <v>19</v>
      </c>
      <c r="F370" t="s">
        <v>10</v>
      </c>
      <c r="G370" t="s">
        <v>74</v>
      </c>
      <c r="H370" t="s">
        <v>77</v>
      </c>
      <c r="I370" s="7">
        <v>16018.52</v>
      </c>
      <c r="J370" s="7">
        <v>16346.5</v>
      </c>
    </row>
    <row r="371" spans="1:10" x14ac:dyDescent="0.3">
      <c r="A371" s="3">
        <v>45682</v>
      </c>
      <c r="B371" s="5">
        <v>1</v>
      </c>
      <c r="C371" s="5">
        <v>2025</v>
      </c>
      <c r="D371" s="5">
        <v>1</v>
      </c>
      <c r="E371" t="s">
        <v>14</v>
      </c>
      <c r="F371" t="s">
        <v>17</v>
      </c>
      <c r="G371" t="s">
        <v>15</v>
      </c>
      <c r="H371" t="s">
        <v>18</v>
      </c>
      <c r="I371" s="7">
        <v>-27638.34</v>
      </c>
    </row>
    <row r="372" spans="1:10" x14ac:dyDescent="0.3">
      <c r="A372" s="3">
        <v>45682</v>
      </c>
      <c r="B372" s="5">
        <v>1</v>
      </c>
      <c r="C372" s="5">
        <v>2025</v>
      </c>
      <c r="D372" s="5">
        <v>1</v>
      </c>
      <c r="E372" t="s">
        <v>31</v>
      </c>
      <c r="F372" t="s">
        <v>17</v>
      </c>
      <c r="G372" t="s">
        <v>15</v>
      </c>
      <c r="H372" t="s">
        <v>33</v>
      </c>
      <c r="I372" s="7">
        <v>-7784.25</v>
      </c>
    </row>
    <row r="373" spans="1:10" x14ac:dyDescent="0.3">
      <c r="A373" s="3">
        <v>45682</v>
      </c>
      <c r="B373" s="5">
        <v>1</v>
      </c>
      <c r="C373" s="5">
        <v>2025</v>
      </c>
      <c r="D373" s="5">
        <v>1</v>
      </c>
      <c r="E373" t="s">
        <v>31</v>
      </c>
      <c r="F373" t="s">
        <v>10</v>
      </c>
      <c r="G373" t="s">
        <v>57</v>
      </c>
      <c r="H373" t="s">
        <v>68</v>
      </c>
      <c r="I373" s="7">
        <v>3853.32</v>
      </c>
      <c r="J373" s="7">
        <v>3671.14</v>
      </c>
    </row>
    <row r="374" spans="1:10" x14ac:dyDescent="0.3">
      <c r="A374" s="3">
        <v>45682</v>
      </c>
      <c r="B374" s="5">
        <v>1</v>
      </c>
      <c r="C374" s="5">
        <v>2025</v>
      </c>
      <c r="D374" s="5">
        <v>1</v>
      </c>
      <c r="E374" t="s">
        <v>19</v>
      </c>
      <c r="F374" t="s">
        <v>17</v>
      </c>
      <c r="G374" t="s">
        <v>74</v>
      </c>
      <c r="H374" t="s">
        <v>78</v>
      </c>
      <c r="I374" s="7">
        <v>-18525.939999999999</v>
      </c>
    </row>
    <row r="375" spans="1:10" x14ac:dyDescent="0.3">
      <c r="A375" s="3">
        <v>45682</v>
      </c>
      <c r="B375" s="5">
        <v>1</v>
      </c>
      <c r="C375" s="5">
        <v>2025</v>
      </c>
      <c r="D375" s="5">
        <v>1</v>
      </c>
      <c r="E375" t="s">
        <v>22</v>
      </c>
      <c r="F375" t="s">
        <v>17</v>
      </c>
      <c r="G375" t="s">
        <v>74</v>
      </c>
      <c r="H375" t="s">
        <v>80</v>
      </c>
      <c r="I375" s="7">
        <v>-31410.29</v>
      </c>
    </row>
    <row r="376" spans="1:10" x14ac:dyDescent="0.3">
      <c r="A376" s="3">
        <v>45683</v>
      </c>
      <c r="B376" s="5">
        <v>1</v>
      </c>
      <c r="C376" s="5">
        <v>2025</v>
      </c>
      <c r="D376" s="5">
        <v>1</v>
      </c>
      <c r="E376" t="s">
        <v>14</v>
      </c>
      <c r="F376" t="s">
        <v>17</v>
      </c>
      <c r="G376" t="s">
        <v>40</v>
      </c>
      <c r="H376" t="s">
        <v>42</v>
      </c>
      <c r="I376" s="7">
        <v>-10401.15</v>
      </c>
    </row>
    <row r="377" spans="1:10" x14ac:dyDescent="0.3">
      <c r="A377" s="3">
        <v>45683</v>
      </c>
      <c r="B377" s="5">
        <v>1</v>
      </c>
      <c r="C377" s="5">
        <v>2025</v>
      </c>
      <c r="D377" s="5">
        <v>1</v>
      </c>
      <c r="E377" t="s">
        <v>31</v>
      </c>
      <c r="F377" t="s">
        <v>17</v>
      </c>
      <c r="G377" t="s">
        <v>40</v>
      </c>
      <c r="H377" t="s">
        <v>52</v>
      </c>
      <c r="I377" s="7">
        <v>-3280.95</v>
      </c>
    </row>
    <row r="378" spans="1:10" x14ac:dyDescent="0.3">
      <c r="A378" s="3">
        <v>45684</v>
      </c>
      <c r="B378" s="5">
        <v>1</v>
      </c>
      <c r="C378" s="5">
        <v>2025</v>
      </c>
      <c r="D378" s="5">
        <v>1</v>
      </c>
      <c r="E378" t="s">
        <v>28</v>
      </c>
      <c r="F378" t="s">
        <v>17</v>
      </c>
      <c r="G378" t="s">
        <v>15</v>
      </c>
      <c r="H378" t="s">
        <v>30</v>
      </c>
      <c r="I378" s="7">
        <v>-15665.85</v>
      </c>
    </row>
    <row r="379" spans="1:10" x14ac:dyDescent="0.3">
      <c r="A379" s="3">
        <v>45684</v>
      </c>
      <c r="B379" s="5">
        <v>1</v>
      </c>
      <c r="C379" s="5">
        <v>2025</v>
      </c>
      <c r="D379" s="5">
        <v>1</v>
      </c>
      <c r="E379" t="s">
        <v>25</v>
      </c>
      <c r="F379" t="s">
        <v>17</v>
      </c>
      <c r="G379" t="s">
        <v>74</v>
      </c>
      <c r="H379" t="s">
        <v>82</v>
      </c>
      <c r="I379" s="7">
        <v>-12277.89</v>
      </c>
    </row>
    <row r="380" spans="1:10" x14ac:dyDescent="0.3">
      <c r="A380" s="3">
        <v>45685</v>
      </c>
      <c r="B380" s="5">
        <v>1</v>
      </c>
      <c r="C380" s="5">
        <v>2025</v>
      </c>
      <c r="D380" s="5">
        <v>1</v>
      </c>
      <c r="E380" t="s">
        <v>34</v>
      </c>
      <c r="F380" t="s">
        <v>17</v>
      </c>
      <c r="G380" t="s">
        <v>15</v>
      </c>
      <c r="H380" t="s">
        <v>36</v>
      </c>
      <c r="I380" s="7">
        <v>-15492.73</v>
      </c>
    </row>
    <row r="381" spans="1:10" x14ac:dyDescent="0.3">
      <c r="A381" s="3">
        <v>45685</v>
      </c>
      <c r="B381" s="5">
        <v>1</v>
      </c>
      <c r="C381" s="5">
        <v>2025</v>
      </c>
      <c r="D381" s="5">
        <v>1</v>
      </c>
      <c r="E381" t="s">
        <v>31</v>
      </c>
      <c r="F381" t="s">
        <v>10</v>
      </c>
      <c r="G381" t="s">
        <v>40</v>
      </c>
      <c r="H381" t="s">
        <v>51</v>
      </c>
      <c r="I381" s="7">
        <v>5372.22</v>
      </c>
      <c r="J381" s="7">
        <v>5172.68</v>
      </c>
    </row>
    <row r="382" spans="1:10" x14ac:dyDescent="0.3">
      <c r="A382" s="3">
        <v>45686</v>
      </c>
      <c r="B382" s="5">
        <v>1</v>
      </c>
      <c r="C382" s="5">
        <v>2025</v>
      </c>
      <c r="D382" s="5">
        <v>1</v>
      </c>
      <c r="E382" t="s">
        <v>25</v>
      </c>
      <c r="F382" t="s">
        <v>10</v>
      </c>
      <c r="G382" t="s">
        <v>40</v>
      </c>
      <c r="H382" t="s">
        <v>47</v>
      </c>
      <c r="I382" s="7">
        <v>8812.2800000000007</v>
      </c>
      <c r="J382" s="7">
        <v>9327.33</v>
      </c>
    </row>
    <row r="383" spans="1:10" x14ac:dyDescent="0.3">
      <c r="A383" s="3">
        <v>45687</v>
      </c>
      <c r="B383" s="5">
        <v>1</v>
      </c>
      <c r="C383" s="5">
        <v>2025</v>
      </c>
      <c r="D383" s="5">
        <v>1</v>
      </c>
      <c r="E383" t="s">
        <v>37</v>
      </c>
      <c r="F383" t="s">
        <v>17</v>
      </c>
      <c r="G383" t="s">
        <v>40</v>
      </c>
      <c r="H383" t="s">
        <v>56</v>
      </c>
      <c r="I383" s="7">
        <v>-6553.24</v>
      </c>
    </row>
    <row r="384" spans="1:10" x14ac:dyDescent="0.3">
      <c r="A384" s="3">
        <v>45687</v>
      </c>
      <c r="B384" s="5">
        <v>1</v>
      </c>
      <c r="C384" s="5">
        <v>2025</v>
      </c>
      <c r="D384" s="5">
        <v>1</v>
      </c>
      <c r="E384" t="s">
        <v>25</v>
      </c>
      <c r="F384" t="s">
        <v>10</v>
      </c>
      <c r="G384" t="s">
        <v>57</v>
      </c>
      <c r="H384" t="s">
        <v>64</v>
      </c>
      <c r="I384" s="7">
        <v>9341.1200000000008</v>
      </c>
      <c r="J384" s="7">
        <v>10266.26</v>
      </c>
    </row>
    <row r="385" spans="1:10" x14ac:dyDescent="0.3">
      <c r="A385" s="3">
        <v>45687</v>
      </c>
      <c r="B385" s="5">
        <v>1</v>
      </c>
      <c r="C385" s="5">
        <v>2025</v>
      </c>
      <c r="D385" s="5">
        <v>1</v>
      </c>
      <c r="E385" t="s">
        <v>22</v>
      </c>
      <c r="F385" t="s">
        <v>10</v>
      </c>
      <c r="G385" t="s">
        <v>74</v>
      </c>
      <c r="H385" t="s">
        <v>79</v>
      </c>
      <c r="I385" s="7">
        <v>21860.880000000001</v>
      </c>
      <c r="J385" s="7">
        <v>23472.43</v>
      </c>
    </row>
    <row r="386" spans="1:10" x14ac:dyDescent="0.3">
      <c r="A386" s="3">
        <v>45689</v>
      </c>
      <c r="B386" s="5">
        <v>2</v>
      </c>
      <c r="C386" s="5">
        <v>2025</v>
      </c>
      <c r="D386" s="5">
        <v>1</v>
      </c>
      <c r="E386" t="s">
        <v>31</v>
      </c>
      <c r="F386" t="s">
        <v>10</v>
      </c>
      <c r="G386" t="s">
        <v>40</v>
      </c>
      <c r="H386" t="s">
        <v>51</v>
      </c>
      <c r="I386" s="7">
        <v>4717.68</v>
      </c>
      <c r="J386" s="7">
        <v>5025.0600000000004</v>
      </c>
    </row>
    <row r="387" spans="1:10" x14ac:dyDescent="0.3">
      <c r="A387" s="3">
        <v>45690</v>
      </c>
      <c r="B387" s="5">
        <v>2</v>
      </c>
      <c r="C387" s="5">
        <v>2025</v>
      </c>
      <c r="D387" s="5">
        <v>1</v>
      </c>
      <c r="E387" t="s">
        <v>37</v>
      </c>
      <c r="F387" t="s">
        <v>10</v>
      </c>
      <c r="G387" t="s">
        <v>40</v>
      </c>
      <c r="H387" t="s">
        <v>55</v>
      </c>
      <c r="I387" s="7">
        <v>5916.61</v>
      </c>
      <c r="J387" s="7">
        <v>5531.26</v>
      </c>
    </row>
    <row r="388" spans="1:10" x14ac:dyDescent="0.3">
      <c r="A388" s="3">
        <v>45690</v>
      </c>
      <c r="B388" s="5">
        <v>2</v>
      </c>
      <c r="C388" s="5">
        <v>2025</v>
      </c>
      <c r="D388" s="5">
        <v>1</v>
      </c>
      <c r="E388" t="s">
        <v>14</v>
      </c>
      <c r="F388" t="s">
        <v>17</v>
      </c>
      <c r="G388" t="s">
        <v>57</v>
      </c>
      <c r="H388" t="s">
        <v>59</v>
      </c>
      <c r="I388" s="7">
        <v>-32745.45</v>
      </c>
    </row>
    <row r="389" spans="1:10" x14ac:dyDescent="0.3">
      <c r="A389" s="3">
        <v>45690</v>
      </c>
      <c r="B389" s="5">
        <v>2</v>
      </c>
      <c r="C389" s="5">
        <v>2025</v>
      </c>
      <c r="D389" s="5">
        <v>1</v>
      </c>
      <c r="E389" t="s">
        <v>31</v>
      </c>
      <c r="F389" t="s">
        <v>10</v>
      </c>
      <c r="G389" t="s">
        <v>57</v>
      </c>
      <c r="H389" t="s">
        <v>68</v>
      </c>
      <c r="I389" s="7">
        <v>4650.72</v>
      </c>
      <c r="J389" s="7">
        <v>4648.78</v>
      </c>
    </row>
    <row r="390" spans="1:10" x14ac:dyDescent="0.3">
      <c r="A390" s="3">
        <v>45691</v>
      </c>
      <c r="B390" s="5">
        <v>2</v>
      </c>
      <c r="C390" s="5">
        <v>2025</v>
      </c>
      <c r="D390" s="5">
        <v>1</v>
      </c>
      <c r="E390" t="s">
        <v>28</v>
      </c>
      <c r="F390" t="s">
        <v>10</v>
      </c>
      <c r="G390" t="s">
        <v>57</v>
      </c>
      <c r="H390" t="s">
        <v>66</v>
      </c>
      <c r="I390" s="7">
        <v>17607.46</v>
      </c>
      <c r="J390" s="7">
        <v>17105.580000000002</v>
      </c>
    </row>
    <row r="391" spans="1:10" x14ac:dyDescent="0.3">
      <c r="A391" s="3">
        <v>45691</v>
      </c>
      <c r="B391" s="5">
        <v>2</v>
      </c>
      <c r="C391" s="5">
        <v>2025</v>
      </c>
      <c r="D391" s="5">
        <v>1</v>
      </c>
      <c r="E391" t="s">
        <v>37</v>
      </c>
      <c r="F391" t="s">
        <v>17</v>
      </c>
      <c r="G391" t="s">
        <v>74</v>
      </c>
      <c r="H391" t="s">
        <v>90</v>
      </c>
      <c r="I391" s="7">
        <v>-2995.23</v>
      </c>
    </row>
    <row r="392" spans="1:10" x14ac:dyDescent="0.3">
      <c r="A392" s="3">
        <v>45692</v>
      </c>
      <c r="B392" s="5">
        <v>2</v>
      </c>
      <c r="C392" s="5">
        <v>2025</v>
      </c>
      <c r="D392" s="5">
        <v>1</v>
      </c>
      <c r="E392" t="s">
        <v>31</v>
      </c>
      <c r="F392" t="s">
        <v>17</v>
      </c>
      <c r="G392" t="s">
        <v>15</v>
      </c>
      <c r="H392" t="s">
        <v>33</v>
      </c>
      <c r="I392" s="7">
        <v>-2115.89</v>
      </c>
    </row>
    <row r="393" spans="1:10" x14ac:dyDescent="0.3">
      <c r="A393" s="3">
        <v>45692</v>
      </c>
      <c r="B393" s="5">
        <v>2</v>
      </c>
      <c r="C393" s="5">
        <v>2025</v>
      </c>
      <c r="D393" s="5">
        <v>1</v>
      </c>
      <c r="E393" t="s">
        <v>19</v>
      </c>
      <c r="F393" t="s">
        <v>10</v>
      </c>
      <c r="G393" t="s">
        <v>40</v>
      </c>
      <c r="H393" t="s">
        <v>43</v>
      </c>
      <c r="I393" s="7">
        <v>23664.5</v>
      </c>
      <c r="J393" s="7">
        <v>25135.96</v>
      </c>
    </row>
    <row r="394" spans="1:10" x14ac:dyDescent="0.3">
      <c r="A394" s="3">
        <v>45692</v>
      </c>
      <c r="B394" s="5">
        <v>2</v>
      </c>
      <c r="C394" s="5">
        <v>2025</v>
      </c>
      <c r="D394" s="5">
        <v>1</v>
      </c>
      <c r="E394" t="s">
        <v>19</v>
      </c>
      <c r="F394" t="s">
        <v>17</v>
      </c>
      <c r="G394" t="s">
        <v>40</v>
      </c>
      <c r="H394" t="s">
        <v>44</v>
      </c>
      <c r="I394" s="7">
        <v>-24928.93</v>
      </c>
    </row>
    <row r="395" spans="1:10" x14ac:dyDescent="0.3">
      <c r="A395" s="3">
        <v>45693</v>
      </c>
      <c r="B395" s="5">
        <v>2</v>
      </c>
      <c r="C395" s="5">
        <v>2025</v>
      </c>
      <c r="D395" s="5">
        <v>1</v>
      </c>
      <c r="E395" t="s">
        <v>37</v>
      </c>
      <c r="F395" t="s">
        <v>10</v>
      </c>
      <c r="G395" t="s">
        <v>15</v>
      </c>
      <c r="H395" t="s">
        <v>38</v>
      </c>
      <c r="I395" s="7">
        <v>6365.59</v>
      </c>
      <c r="J395" s="7">
        <v>6131.44</v>
      </c>
    </row>
    <row r="396" spans="1:10" x14ac:dyDescent="0.3">
      <c r="A396" s="3">
        <v>45694</v>
      </c>
      <c r="B396" s="5">
        <v>2</v>
      </c>
      <c r="C396" s="5">
        <v>2025</v>
      </c>
      <c r="D396" s="5">
        <v>1</v>
      </c>
      <c r="E396" t="s">
        <v>14</v>
      </c>
      <c r="F396" t="s">
        <v>10</v>
      </c>
      <c r="G396" t="s">
        <v>15</v>
      </c>
      <c r="H396" t="s">
        <v>16</v>
      </c>
      <c r="I396" s="7">
        <v>23706.16</v>
      </c>
      <c r="J396" s="7">
        <v>24512.74</v>
      </c>
    </row>
    <row r="397" spans="1:10" x14ac:dyDescent="0.3">
      <c r="A397" s="3">
        <v>45694</v>
      </c>
      <c r="B397" s="5">
        <v>2</v>
      </c>
      <c r="C397" s="5">
        <v>2025</v>
      </c>
      <c r="D397" s="5">
        <v>1</v>
      </c>
      <c r="E397" t="s">
        <v>25</v>
      </c>
      <c r="F397" t="s">
        <v>17</v>
      </c>
      <c r="G397" t="s">
        <v>15</v>
      </c>
      <c r="H397" t="s">
        <v>27</v>
      </c>
      <c r="I397" s="7">
        <v>-6031.39</v>
      </c>
    </row>
    <row r="398" spans="1:10" x14ac:dyDescent="0.3">
      <c r="A398" s="3">
        <v>45694</v>
      </c>
      <c r="B398" s="5">
        <v>2</v>
      </c>
      <c r="C398" s="5">
        <v>2025</v>
      </c>
      <c r="D398" s="5">
        <v>1</v>
      </c>
      <c r="E398" t="s">
        <v>19</v>
      </c>
      <c r="F398" t="s">
        <v>17</v>
      </c>
      <c r="G398" t="s">
        <v>74</v>
      </c>
      <c r="H398" t="s">
        <v>78</v>
      </c>
      <c r="I398" s="7">
        <v>-12025.2</v>
      </c>
    </row>
    <row r="399" spans="1:10" x14ac:dyDescent="0.3">
      <c r="A399" s="3">
        <v>45695</v>
      </c>
      <c r="B399" s="5">
        <v>2</v>
      </c>
      <c r="C399" s="5">
        <v>2025</v>
      </c>
      <c r="D399" s="5">
        <v>1</v>
      </c>
      <c r="E399" t="s">
        <v>28</v>
      </c>
      <c r="F399" t="s">
        <v>17</v>
      </c>
      <c r="G399" t="s">
        <v>15</v>
      </c>
      <c r="H399" t="s">
        <v>30</v>
      </c>
      <c r="I399" s="7">
        <v>-16641.439999999999</v>
      </c>
    </row>
    <row r="400" spans="1:10" x14ac:dyDescent="0.3">
      <c r="A400" s="3">
        <v>45695</v>
      </c>
      <c r="B400" s="5">
        <v>2</v>
      </c>
      <c r="C400" s="5">
        <v>2025</v>
      </c>
      <c r="D400" s="5">
        <v>1</v>
      </c>
      <c r="E400" t="s">
        <v>31</v>
      </c>
      <c r="F400" t="s">
        <v>17</v>
      </c>
      <c r="G400" t="s">
        <v>40</v>
      </c>
      <c r="H400" t="s">
        <v>52</v>
      </c>
      <c r="I400" s="7">
        <v>-6765.52</v>
      </c>
    </row>
    <row r="401" spans="1:10" x14ac:dyDescent="0.3">
      <c r="A401" s="3">
        <v>45697</v>
      </c>
      <c r="B401" s="5">
        <v>2</v>
      </c>
      <c r="C401" s="5">
        <v>2025</v>
      </c>
      <c r="D401" s="5">
        <v>1</v>
      </c>
      <c r="E401" t="s">
        <v>31</v>
      </c>
      <c r="F401" t="s">
        <v>10</v>
      </c>
      <c r="G401" t="s">
        <v>74</v>
      </c>
      <c r="H401" t="s">
        <v>85</v>
      </c>
      <c r="I401" s="7">
        <v>3937.35</v>
      </c>
      <c r="J401" s="7">
        <v>3906.58</v>
      </c>
    </row>
    <row r="402" spans="1:10" x14ac:dyDescent="0.3">
      <c r="A402" s="3">
        <v>45698</v>
      </c>
      <c r="B402" s="5">
        <v>2</v>
      </c>
      <c r="C402" s="5">
        <v>2025</v>
      </c>
      <c r="D402" s="5">
        <v>1</v>
      </c>
      <c r="E402" t="s">
        <v>19</v>
      </c>
      <c r="F402" t="s">
        <v>10</v>
      </c>
      <c r="G402" t="s">
        <v>15</v>
      </c>
      <c r="H402" t="s">
        <v>20</v>
      </c>
      <c r="I402" s="7">
        <v>23562.68</v>
      </c>
      <c r="J402" s="7">
        <v>25300.26</v>
      </c>
    </row>
    <row r="403" spans="1:10" x14ac:dyDescent="0.3">
      <c r="A403" s="3">
        <v>45698</v>
      </c>
      <c r="B403" s="5">
        <v>2</v>
      </c>
      <c r="C403" s="5">
        <v>2025</v>
      </c>
      <c r="D403" s="5">
        <v>1</v>
      </c>
      <c r="E403" t="s">
        <v>22</v>
      </c>
      <c r="F403" t="s">
        <v>10</v>
      </c>
      <c r="G403" t="s">
        <v>57</v>
      </c>
      <c r="H403" t="s">
        <v>62</v>
      </c>
      <c r="I403" s="7">
        <v>19290.48</v>
      </c>
      <c r="J403" s="7">
        <v>19453.71</v>
      </c>
    </row>
    <row r="404" spans="1:10" x14ac:dyDescent="0.3">
      <c r="A404" s="3">
        <v>45698</v>
      </c>
      <c r="B404" s="5">
        <v>2</v>
      </c>
      <c r="C404" s="5">
        <v>2025</v>
      </c>
      <c r="D404" s="5">
        <v>1</v>
      </c>
      <c r="E404" t="s">
        <v>37</v>
      </c>
      <c r="F404" t="s">
        <v>17</v>
      </c>
      <c r="G404" t="s">
        <v>57</v>
      </c>
      <c r="H404" t="s">
        <v>73</v>
      </c>
      <c r="I404" s="7">
        <v>-5272.46</v>
      </c>
    </row>
    <row r="405" spans="1:10" x14ac:dyDescent="0.3">
      <c r="A405" s="3">
        <v>45698</v>
      </c>
      <c r="B405" s="5">
        <v>2</v>
      </c>
      <c r="C405" s="5">
        <v>2025</v>
      </c>
      <c r="D405" s="5">
        <v>1</v>
      </c>
      <c r="E405" t="s">
        <v>34</v>
      </c>
      <c r="F405" t="s">
        <v>10</v>
      </c>
      <c r="G405" t="s">
        <v>74</v>
      </c>
      <c r="H405" t="s">
        <v>87</v>
      </c>
      <c r="I405" s="7">
        <v>10732.32</v>
      </c>
      <c r="J405" s="7">
        <v>11156.79</v>
      </c>
    </row>
    <row r="406" spans="1:10" x14ac:dyDescent="0.3">
      <c r="A406" s="3">
        <v>45699</v>
      </c>
      <c r="B406" s="5">
        <v>2</v>
      </c>
      <c r="C406" s="5">
        <v>2025</v>
      </c>
      <c r="D406" s="5">
        <v>1</v>
      </c>
      <c r="E406" t="s">
        <v>22</v>
      </c>
      <c r="F406" t="s">
        <v>10</v>
      </c>
      <c r="G406" t="s">
        <v>40</v>
      </c>
      <c r="H406" t="s">
        <v>45</v>
      </c>
      <c r="I406" s="7">
        <v>26321.919999999998</v>
      </c>
      <c r="J406" s="7">
        <v>24749.119999999999</v>
      </c>
    </row>
    <row r="407" spans="1:10" x14ac:dyDescent="0.3">
      <c r="A407" s="3">
        <v>45699</v>
      </c>
      <c r="B407" s="5">
        <v>2</v>
      </c>
      <c r="C407" s="5">
        <v>2025</v>
      </c>
      <c r="D407" s="5">
        <v>1</v>
      </c>
      <c r="E407" t="s">
        <v>19</v>
      </c>
      <c r="F407" t="s">
        <v>10</v>
      </c>
      <c r="G407" t="s">
        <v>74</v>
      </c>
      <c r="H407" t="s">
        <v>77</v>
      </c>
      <c r="I407" s="7">
        <v>17130.990000000002</v>
      </c>
      <c r="J407" s="7">
        <v>17394.84</v>
      </c>
    </row>
    <row r="408" spans="1:10" x14ac:dyDescent="0.3">
      <c r="A408" s="3">
        <v>45699</v>
      </c>
      <c r="B408" s="5">
        <v>2</v>
      </c>
      <c r="C408" s="5">
        <v>2025</v>
      </c>
      <c r="D408" s="5">
        <v>1</v>
      </c>
      <c r="E408" t="s">
        <v>22</v>
      </c>
      <c r="F408" t="s">
        <v>10</v>
      </c>
      <c r="G408" t="s">
        <v>74</v>
      </c>
      <c r="H408" t="s">
        <v>79</v>
      </c>
      <c r="I408" s="7">
        <v>20105.990000000002</v>
      </c>
      <c r="J408" s="7">
        <v>18767.009999999998</v>
      </c>
    </row>
    <row r="409" spans="1:10" x14ac:dyDescent="0.3">
      <c r="A409" s="3">
        <v>45699</v>
      </c>
      <c r="B409" s="5">
        <v>2</v>
      </c>
      <c r="C409" s="5">
        <v>2025</v>
      </c>
      <c r="D409" s="5">
        <v>1</v>
      </c>
      <c r="E409" t="s">
        <v>28</v>
      </c>
      <c r="F409" t="s">
        <v>10</v>
      </c>
      <c r="G409" t="s">
        <v>74</v>
      </c>
      <c r="H409" t="s">
        <v>83</v>
      </c>
      <c r="I409" s="7">
        <v>14671.14</v>
      </c>
      <c r="J409" s="7">
        <v>16042.7</v>
      </c>
    </row>
    <row r="410" spans="1:10" x14ac:dyDescent="0.3">
      <c r="A410" s="3">
        <v>45700</v>
      </c>
      <c r="B410" s="5">
        <v>2</v>
      </c>
      <c r="C410" s="5">
        <v>2025</v>
      </c>
      <c r="D410" s="5">
        <v>1</v>
      </c>
      <c r="E410" t="s">
        <v>25</v>
      </c>
      <c r="F410" t="s">
        <v>10</v>
      </c>
      <c r="G410" t="s">
        <v>15</v>
      </c>
      <c r="H410" t="s">
        <v>26</v>
      </c>
      <c r="I410" s="7">
        <v>10346.219999999999</v>
      </c>
      <c r="J410" s="7">
        <v>10437.540000000001</v>
      </c>
    </row>
    <row r="411" spans="1:10" x14ac:dyDescent="0.3">
      <c r="A411" s="3">
        <v>45700</v>
      </c>
      <c r="B411" s="5">
        <v>2</v>
      </c>
      <c r="C411" s="5">
        <v>2025</v>
      </c>
      <c r="D411" s="5">
        <v>1</v>
      </c>
      <c r="E411" t="s">
        <v>34</v>
      </c>
      <c r="F411" t="s">
        <v>17</v>
      </c>
      <c r="G411" t="s">
        <v>15</v>
      </c>
      <c r="H411" t="s">
        <v>36</v>
      </c>
      <c r="I411" s="7">
        <v>-6654.21</v>
      </c>
    </row>
    <row r="412" spans="1:10" x14ac:dyDescent="0.3">
      <c r="A412" s="3">
        <v>45700</v>
      </c>
      <c r="B412" s="5">
        <v>2</v>
      </c>
      <c r="C412" s="5">
        <v>2025</v>
      </c>
      <c r="D412" s="5">
        <v>1</v>
      </c>
      <c r="E412" t="s">
        <v>34</v>
      </c>
      <c r="F412" t="s">
        <v>10</v>
      </c>
      <c r="G412" t="s">
        <v>40</v>
      </c>
      <c r="H412" t="s">
        <v>53</v>
      </c>
      <c r="I412" s="7">
        <v>12550.72</v>
      </c>
      <c r="J412" s="7">
        <v>12014.89</v>
      </c>
    </row>
    <row r="413" spans="1:10" x14ac:dyDescent="0.3">
      <c r="A413" s="3">
        <v>45700</v>
      </c>
      <c r="B413" s="5">
        <v>2</v>
      </c>
      <c r="C413" s="5">
        <v>2025</v>
      </c>
      <c r="D413" s="5">
        <v>1</v>
      </c>
      <c r="E413" t="s">
        <v>14</v>
      </c>
      <c r="F413" t="s">
        <v>10</v>
      </c>
      <c r="G413" t="s">
        <v>57</v>
      </c>
      <c r="H413" t="s">
        <v>58</v>
      </c>
      <c r="I413" s="7">
        <v>27509.56</v>
      </c>
      <c r="J413" s="7">
        <v>30121.95</v>
      </c>
    </row>
    <row r="414" spans="1:10" x14ac:dyDescent="0.3">
      <c r="A414" s="3">
        <v>45700</v>
      </c>
      <c r="B414" s="5">
        <v>2</v>
      </c>
      <c r="C414" s="5">
        <v>2025</v>
      </c>
      <c r="D414" s="5">
        <v>1</v>
      </c>
      <c r="E414" t="s">
        <v>22</v>
      </c>
      <c r="F414" t="s">
        <v>17</v>
      </c>
      <c r="G414" t="s">
        <v>57</v>
      </c>
      <c r="H414" t="s">
        <v>63</v>
      </c>
      <c r="I414" s="7">
        <v>-14430.81</v>
      </c>
    </row>
    <row r="415" spans="1:10" x14ac:dyDescent="0.3">
      <c r="A415" s="3">
        <v>45700</v>
      </c>
      <c r="B415" s="5">
        <v>2</v>
      </c>
      <c r="C415" s="5">
        <v>2025</v>
      </c>
      <c r="D415" s="5">
        <v>1</v>
      </c>
      <c r="E415" t="s">
        <v>34</v>
      </c>
      <c r="F415" t="s">
        <v>17</v>
      </c>
      <c r="G415" t="s">
        <v>74</v>
      </c>
      <c r="H415" t="s">
        <v>88</v>
      </c>
      <c r="I415" s="7">
        <v>-5480.85</v>
      </c>
    </row>
    <row r="416" spans="1:10" x14ac:dyDescent="0.3">
      <c r="A416" s="3">
        <v>45701</v>
      </c>
      <c r="B416" s="5">
        <v>2</v>
      </c>
      <c r="C416" s="5">
        <v>2025</v>
      </c>
      <c r="D416" s="5">
        <v>1</v>
      </c>
      <c r="E416" t="s">
        <v>14</v>
      </c>
      <c r="F416" t="s">
        <v>10</v>
      </c>
      <c r="G416" t="s">
        <v>40</v>
      </c>
      <c r="H416" t="s">
        <v>41</v>
      </c>
      <c r="I416" s="7">
        <v>22384.41</v>
      </c>
      <c r="J416" s="7">
        <v>21339.93</v>
      </c>
    </row>
    <row r="417" spans="1:10" x14ac:dyDescent="0.3">
      <c r="A417" s="3">
        <v>45701</v>
      </c>
      <c r="B417" s="5">
        <v>2</v>
      </c>
      <c r="C417" s="5">
        <v>2025</v>
      </c>
      <c r="D417" s="5">
        <v>1</v>
      </c>
      <c r="E417" t="s">
        <v>14</v>
      </c>
      <c r="F417" t="s">
        <v>17</v>
      </c>
      <c r="G417" t="s">
        <v>40</v>
      </c>
      <c r="H417" t="s">
        <v>42</v>
      </c>
      <c r="I417" s="7">
        <v>-7548.74</v>
      </c>
    </row>
    <row r="418" spans="1:10" x14ac:dyDescent="0.3">
      <c r="A418" s="3">
        <v>45701</v>
      </c>
      <c r="B418" s="5">
        <v>2</v>
      </c>
      <c r="C418" s="5">
        <v>2025</v>
      </c>
      <c r="D418" s="5">
        <v>1</v>
      </c>
      <c r="E418" t="s">
        <v>28</v>
      </c>
      <c r="F418" t="s">
        <v>10</v>
      </c>
      <c r="G418" t="s">
        <v>40</v>
      </c>
      <c r="H418" t="s">
        <v>49</v>
      </c>
      <c r="I418" s="7">
        <v>18600.61</v>
      </c>
      <c r="J418" s="7">
        <v>17586.39</v>
      </c>
    </row>
    <row r="419" spans="1:10" x14ac:dyDescent="0.3">
      <c r="A419" s="3">
        <v>45701</v>
      </c>
      <c r="B419" s="5">
        <v>2</v>
      </c>
      <c r="C419" s="5">
        <v>2025</v>
      </c>
      <c r="D419" s="5">
        <v>1</v>
      </c>
      <c r="E419" t="s">
        <v>34</v>
      </c>
      <c r="F419" t="s">
        <v>17</v>
      </c>
      <c r="G419" t="s">
        <v>40</v>
      </c>
      <c r="H419" t="s">
        <v>54</v>
      </c>
      <c r="I419" s="7">
        <v>-13988.23</v>
      </c>
    </row>
    <row r="420" spans="1:10" x14ac:dyDescent="0.3">
      <c r="A420" s="3">
        <v>45701</v>
      </c>
      <c r="B420" s="5">
        <v>2</v>
      </c>
      <c r="C420" s="5">
        <v>2025</v>
      </c>
      <c r="D420" s="5">
        <v>1</v>
      </c>
      <c r="E420" t="s">
        <v>19</v>
      </c>
      <c r="F420" t="s">
        <v>10</v>
      </c>
      <c r="G420" t="s">
        <v>57</v>
      </c>
      <c r="H420" t="s">
        <v>60</v>
      </c>
      <c r="I420" s="7">
        <v>20548.099999999999</v>
      </c>
      <c r="J420" s="7">
        <v>19144.849999999999</v>
      </c>
    </row>
    <row r="421" spans="1:10" x14ac:dyDescent="0.3">
      <c r="A421" s="3">
        <v>45702</v>
      </c>
      <c r="B421" s="5">
        <v>2</v>
      </c>
      <c r="C421" s="5">
        <v>2025</v>
      </c>
      <c r="D421" s="5">
        <v>1</v>
      </c>
      <c r="E421" t="s">
        <v>31</v>
      </c>
      <c r="F421" t="s">
        <v>17</v>
      </c>
      <c r="G421" t="s">
        <v>74</v>
      </c>
      <c r="H421" t="s">
        <v>86</v>
      </c>
      <c r="I421" s="7">
        <v>-1969.18</v>
      </c>
    </row>
    <row r="422" spans="1:10" x14ac:dyDescent="0.3">
      <c r="A422" s="3">
        <v>45702</v>
      </c>
      <c r="B422" s="5">
        <v>2</v>
      </c>
      <c r="C422" s="5">
        <v>2025</v>
      </c>
      <c r="D422" s="5">
        <v>1</v>
      </c>
      <c r="E422" t="s">
        <v>37</v>
      </c>
      <c r="F422" t="s">
        <v>10</v>
      </c>
      <c r="G422" t="s">
        <v>74</v>
      </c>
      <c r="H422" t="s">
        <v>89</v>
      </c>
      <c r="I422" s="7">
        <v>4528.47</v>
      </c>
      <c r="J422" s="7">
        <v>4457.4799999999996</v>
      </c>
    </row>
    <row r="423" spans="1:10" x14ac:dyDescent="0.3">
      <c r="A423" s="3">
        <v>45703</v>
      </c>
      <c r="B423" s="5">
        <v>2</v>
      </c>
      <c r="C423" s="5">
        <v>2025</v>
      </c>
      <c r="D423" s="5">
        <v>1</v>
      </c>
      <c r="E423" t="s">
        <v>22</v>
      </c>
      <c r="F423" t="s">
        <v>10</v>
      </c>
      <c r="G423" t="s">
        <v>15</v>
      </c>
      <c r="H423" t="s">
        <v>23</v>
      </c>
      <c r="I423" s="7">
        <v>28670.23</v>
      </c>
      <c r="J423" s="7">
        <v>29945.15</v>
      </c>
    </row>
    <row r="424" spans="1:10" x14ac:dyDescent="0.3">
      <c r="A424" s="3">
        <v>45703</v>
      </c>
      <c r="B424" s="5">
        <v>2</v>
      </c>
      <c r="C424" s="5">
        <v>2025</v>
      </c>
      <c r="D424" s="5">
        <v>1</v>
      </c>
      <c r="E424" t="s">
        <v>31</v>
      </c>
      <c r="F424" t="s">
        <v>10</v>
      </c>
      <c r="G424" t="s">
        <v>15</v>
      </c>
      <c r="H424" t="s">
        <v>32</v>
      </c>
      <c r="I424" s="7">
        <v>3994.12</v>
      </c>
      <c r="J424" s="7">
        <v>4062.32</v>
      </c>
    </row>
    <row r="425" spans="1:10" x14ac:dyDescent="0.3">
      <c r="A425" s="3">
        <v>45703</v>
      </c>
      <c r="B425" s="5">
        <v>2</v>
      </c>
      <c r="C425" s="5">
        <v>2025</v>
      </c>
      <c r="D425" s="5">
        <v>1</v>
      </c>
      <c r="E425" t="s">
        <v>25</v>
      </c>
      <c r="F425" t="s">
        <v>10</v>
      </c>
      <c r="G425" t="s">
        <v>57</v>
      </c>
      <c r="H425" t="s">
        <v>64</v>
      </c>
      <c r="I425" s="7">
        <v>8152.26</v>
      </c>
      <c r="J425" s="7">
        <v>8586.0300000000007</v>
      </c>
    </row>
    <row r="426" spans="1:10" x14ac:dyDescent="0.3">
      <c r="A426" s="3">
        <v>45704</v>
      </c>
      <c r="B426" s="5">
        <v>2</v>
      </c>
      <c r="C426" s="5">
        <v>2025</v>
      </c>
      <c r="D426" s="5">
        <v>1</v>
      </c>
      <c r="E426" t="s">
        <v>14</v>
      </c>
      <c r="F426" t="s">
        <v>17</v>
      </c>
      <c r="G426" t="s">
        <v>15</v>
      </c>
      <c r="H426" t="s">
        <v>18</v>
      </c>
      <c r="I426" s="7">
        <v>-28878.55</v>
      </c>
    </row>
    <row r="427" spans="1:10" x14ac:dyDescent="0.3">
      <c r="A427" s="3">
        <v>45704</v>
      </c>
      <c r="B427" s="5">
        <v>2</v>
      </c>
      <c r="C427" s="5">
        <v>2025</v>
      </c>
      <c r="D427" s="5">
        <v>1</v>
      </c>
      <c r="E427" t="s">
        <v>34</v>
      </c>
      <c r="F427" t="s">
        <v>17</v>
      </c>
      <c r="G427" t="s">
        <v>57</v>
      </c>
      <c r="H427" t="s">
        <v>71</v>
      </c>
      <c r="I427" s="7">
        <v>-6701.93</v>
      </c>
    </row>
    <row r="428" spans="1:10" x14ac:dyDescent="0.3">
      <c r="A428" s="3">
        <v>45704</v>
      </c>
      <c r="B428" s="5">
        <v>2</v>
      </c>
      <c r="C428" s="5">
        <v>2025</v>
      </c>
      <c r="D428" s="5">
        <v>1</v>
      </c>
      <c r="E428" t="s">
        <v>25</v>
      </c>
      <c r="F428" t="s">
        <v>10</v>
      </c>
      <c r="G428" t="s">
        <v>74</v>
      </c>
      <c r="H428" t="s">
        <v>81</v>
      </c>
      <c r="I428" s="7">
        <v>8223.27</v>
      </c>
      <c r="J428" s="7">
        <v>8597.7000000000007</v>
      </c>
    </row>
    <row r="429" spans="1:10" x14ac:dyDescent="0.3">
      <c r="A429" s="3">
        <v>45705</v>
      </c>
      <c r="B429" s="5">
        <v>2</v>
      </c>
      <c r="C429" s="5">
        <v>2025</v>
      </c>
      <c r="D429" s="5">
        <v>1</v>
      </c>
      <c r="E429" t="s">
        <v>19</v>
      </c>
      <c r="F429" t="s">
        <v>17</v>
      </c>
      <c r="G429" t="s">
        <v>15</v>
      </c>
      <c r="H429" t="s">
        <v>21</v>
      </c>
      <c r="I429" s="7">
        <v>-27821.119999999999</v>
      </c>
    </row>
    <row r="430" spans="1:10" x14ac:dyDescent="0.3">
      <c r="A430" s="3">
        <v>45705</v>
      </c>
      <c r="B430" s="5">
        <v>2</v>
      </c>
      <c r="C430" s="5">
        <v>2025</v>
      </c>
      <c r="D430" s="5">
        <v>1</v>
      </c>
      <c r="E430" t="s">
        <v>28</v>
      </c>
      <c r="F430" t="s">
        <v>10</v>
      </c>
      <c r="G430" t="s">
        <v>15</v>
      </c>
      <c r="H430" t="s">
        <v>29</v>
      </c>
      <c r="I430" s="7">
        <v>13906.76</v>
      </c>
      <c r="J430" s="7">
        <v>13318.58</v>
      </c>
    </row>
    <row r="431" spans="1:10" x14ac:dyDescent="0.3">
      <c r="A431" s="3">
        <v>45705</v>
      </c>
      <c r="B431" s="5">
        <v>2</v>
      </c>
      <c r="C431" s="5">
        <v>2025</v>
      </c>
      <c r="D431" s="5">
        <v>1</v>
      </c>
      <c r="E431" t="s">
        <v>14</v>
      </c>
      <c r="F431" t="s">
        <v>10</v>
      </c>
      <c r="G431" t="s">
        <v>74</v>
      </c>
      <c r="H431" t="s">
        <v>75</v>
      </c>
      <c r="I431" s="7">
        <v>21469.34</v>
      </c>
      <c r="J431" s="7">
        <v>23420.84</v>
      </c>
    </row>
    <row r="432" spans="1:10" x14ac:dyDescent="0.3">
      <c r="A432" s="3">
        <v>45706</v>
      </c>
      <c r="B432" s="5">
        <v>2</v>
      </c>
      <c r="C432" s="5">
        <v>2025</v>
      </c>
      <c r="D432" s="5">
        <v>1</v>
      </c>
      <c r="E432" t="s">
        <v>22</v>
      </c>
      <c r="F432" t="s">
        <v>17</v>
      </c>
      <c r="G432" t="s">
        <v>15</v>
      </c>
      <c r="H432" t="s">
        <v>24</v>
      </c>
      <c r="I432" s="7">
        <v>-16763.23</v>
      </c>
    </row>
    <row r="433" spans="1:10" x14ac:dyDescent="0.3">
      <c r="A433" s="3">
        <v>45706</v>
      </c>
      <c r="B433" s="5">
        <v>2</v>
      </c>
      <c r="C433" s="5">
        <v>2025</v>
      </c>
      <c r="D433" s="5">
        <v>1</v>
      </c>
      <c r="E433" t="s">
        <v>37</v>
      </c>
      <c r="F433" t="s">
        <v>10</v>
      </c>
      <c r="G433" t="s">
        <v>57</v>
      </c>
      <c r="H433" t="s">
        <v>72</v>
      </c>
      <c r="I433" s="7">
        <v>4299.47</v>
      </c>
      <c r="J433" s="7">
        <v>4718.84</v>
      </c>
    </row>
    <row r="434" spans="1:10" x14ac:dyDescent="0.3">
      <c r="A434" s="3">
        <v>45707</v>
      </c>
      <c r="B434" s="5">
        <v>2</v>
      </c>
      <c r="C434" s="5">
        <v>2025</v>
      </c>
      <c r="D434" s="5">
        <v>1</v>
      </c>
      <c r="E434" t="s">
        <v>34</v>
      </c>
      <c r="F434" t="s">
        <v>10</v>
      </c>
      <c r="G434" t="s">
        <v>15</v>
      </c>
      <c r="H434" t="s">
        <v>35</v>
      </c>
      <c r="I434" s="7">
        <v>9640.39</v>
      </c>
      <c r="J434" s="7">
        <v>9797.2999999999993</v>
      </c>
    </row>
    <row r="435" spans="1:10" x14ac:dyDescent="0.3">
      <c r="A435" s="3">
        <v>45708</v>
      </c>
      <c r="B435" s="5">
        <v>2</v>
      </c>
      <c r="C435" s="5">
        <v>2025</v>
      </c>
      <c r="D435" s="5">
        <v>1</v>
      </c>
      <c r="E435" t="s">
        <v>37</v>
      </c>
      <c r="F435" t="s">
        <v>17</v>
      </c>
      <c r="G435" t="s">
        <v>40</v>
      </c>
      <c r="H435" t="s">
        <v>56</v>
      </c>
      <c r="I435" s="7">
        <v>-3723.69</v>
      </c>
    </row>
    <row r="436" spans="1:10" x14ac:dyDescent="0.3">
      <c r="A436" s="3">
        <v>45708</v>
      </c>
      <c r="B436" s="5">
        <v>2</v>
      </c>
      <c r="C436" s="5">
        <v>2025</v>
      </c>
      <c r="D436" s="5">
        <v>1</v>
      </c>
      <c r="E436" t="s">
        <v>14</v>
      </c>
      <c r="F436" t="s">
        <v>17</v>
      </c>
      <c r="G436" t="s">
        <v>74</v>
      </c>
      <c r="H436" t="s">
        <v>76</v>
      </c>
      <c r="I436" s="7">
        <v>-10829.88</v>
      </c>
    </row>
    <row r="437" spans="1:10" x14ac:dyDescent="0.3">
      <c r="A437" s="3">
        <v>45709</v>
      </c>
      <c r="B437" s="5">
        <v>2</v>
      </c>
      <c r="C437" s="5">
        <v>2025</v>
      </c>
      <c r="D437" s="5">
        <v>1</v>
      </c>
      <c r="E437" t="s">
        <v>28</v>
      </c>
      <c r="F437" t="s">
        <v>17</v>
      </c>
      <c r="G437" t="s">
        <v>40</v>
      </c>
      <c r="H437" t="s">
        <v>50</v>
      </c>
      <c r="I437" s="7">
        <v>-12501.37</v>
      </c>
    </row>
    <row r="438" spans="1:10" x14ac:dyDescent="0.3">
      <c r="A438" s="3">
        <v>45710</v>
      </c>
      <c r="B438" s="5">
        <v>2</v>
      </c>
      <c r="C438" s="5">
        <v>2025</v>
      </c>
      <c r="D438" s="5">
        <v>1</v>
      </c>
      <c r="E438" t="s">
        <v>37</v>
      </c>
      <c r="F438" t="s">
        <v>17</v>
      </c>
      <c r="G438" t="s">
        <v>15</v>
      </c>
      <c r="H438" t="s">
        <v>39</v>
      </c>
      <c r="I438" s="7">
        <v>-8686.58</v>
      </c>
    </row>
    <row r="439" spans="1:10" x14ac:dyDescent="0.3">
      <c r="A439" s="3">
        <v>45710</v>
      </c>
      <c r="B439" s="5">
        <v>2</v>
      </c>
      <c r="C439" s="5">
        <v>2025</v>
      </c>
      <c r="D439" s="5">
        <v>1</v>
      </c>
      <c r="E439" t="s">
        <v>31</v>
      </c>
      <c r="F439" t="s">
        <v>17</v>
      </c>
      <c r="G439" t="s">
        <v>57</v>
      </c>
      <c r="H439" t="s">
        <v>69</v>
      </c>
      <c r="I439" s="7">
        <v>-3646.17</v>
      </c>
    </row>
    <row r="440" spans="1:10" x14ac:dyDescent="0.3">
      <c r="A440" s="3">
        <v>45710</v>
      </c>
      <c r="B440" s="5">
        <v>2</v>
      </c>
      <c r="C440" s="5">
        <v>2025</v>
      </c>
      <c r="D440" s="5">
        <v>1</v>
      </c>
      <c r="E440" t="s">
        <v>34</v>
      </c>
      <c r="F440" t="s">
        <v>10</v>
      </c>
      <c r="G440" t="s">
        <v>57</v>
      </c>
      <c r="H440" t="s">
        <v>70</v>
      </c>
      <c r="I440" s="7">
        <v>12180.84</v>
      </c>
      <c r="J440" s="7">
        <v>13117.26</v>
      </c>
    </row>
    <row r="441" spans="1:10" x14ac:dyDescent="0.3">
      <c r="A441" s="3">
        <v>45712</v>
      </c>
      <c r="B441" s="5">
        <v>2</v>
      </c>
      <c r="C441" s="5">
        <v>2025</v>
      </c>
      <c r="D441" s="5">
        <v>1</v>
      </c>
      <c r="E441" t="s">
        <v>25</v>
      </c>
      <c r="F441" t="s">
        <v>10</v>
      </c>
      <c r="G441" t="s">
        <v>40</v>
      </c>
      <c r="H441" t="s">
        <v>47</v>
      </c>
      <c r="I441" s="7">
        <v>8876.11</v>
      </c>
      <c r="J441" s="7">
        <v>9290.0499999999993</v>
      </c>
    </row>
    <row r="442" spans="1:10" x14ac:dyDescent="0.3">
      <c r="A442" s="3">
        <v>45712</v>
      </c>
      <c r="B442" s="5">
        <v>2</v>
      </c>
      <c r="C442" s="5">
        <v>2025</v>
      </c>
      <c r="D442" s="5">
        <v>1</v>
      </c>
      <c r="E442" t="s">
        <v>28</v>
      </c>
      <c r="F442" t="s">
        <v>17</v>
      </c>
      <c r="G442" t="s">
        <v>74</v>
      </c>
      <c r="H442" t="s">
        <v>84</v>
      </c>
      <c r="I442" s="7">
        <v>-9786.4</v>
      </c>
    </row>
    <row r="443" spans="1:10" x14ac:dyDescent="0.3">
      <c r="A443" s="3">
        <v>45713</v>
      </c>
      <c r="B443" s="5">
        <v>2</v>
      </c>
      <c r="C443" s="5">
        <v>2025</v>
      </c>
      <c r="D443" s="5">
        <v>1</v>
      </c>
      <c r="E443" t="s">
        <v>25</v>
      </c>
      <c r="F443" t="s">
        <v>17</v>
      </c>
      <c r="G443" t="s">
        <v>57</v>
      </c>
      <c r="H443" t="s">
        <v>65</v>
      </c>
      <c r="I443" s="7">
        <v>-10256.01</v>
      </c>
    </row>
    <row r="444" spans="1:10" x14ac:dyDescent="0.3">
      <c r="A444" s="3">
        <v>45714</v>
      </c>
      <c r="B444" s="5">
        <v>2</v>
      </c>
      <c r="C444" s="5">
        <v>2025</v>
      </c>
      <c r="D444" s="5">
        <v>1</v>
      </c>
      <c r="E444" t="s">
        <v>25</v>
      </c>
      <c r="F444" t="s">
        <v>17</v>
      </c>
      <c r="G444" t="s">
        <v>74</v>
      </c>
      <c r="H444" t="s">
        <v>82</v>
      </c>
      <c r="I444" s="7">
        <v>-11541.61</v>
      </c>
    </row>
    <row r="445" spans="1:10" x14ac:dyDescent="0.3">
      <c r="A445" s="3">
        <v>45715</v>
      </c>
      <c r="B445" s="5">
        <v>2</v>
      </c>
      <c r="C445" s="5">
        <v>2025</v>
      </c>
      <c r="D445" s="5">
        <v>1</v>
      </c>
      <c r="E445" t="s">
        <v>22</v>
      </c>
      <c r="F445" t="s">
        <v>17</v>
      </c>
      <c r="G445" t="s">
        <v>40</v>
      </c>
      <c r="H445" t="s">
        <v>46</v>
      </c>
      <c r="I445" s="7">
        <v>-9011.56</v>
      </c>
    </row>
    <row r="446" spans="1:10" x14ac:dyDescent="0.3">
      <c r="A446" s="3">
        <v>45715</v>
      </c>
      <c r="B446" s="5">
        <v>2</v>
      </c>
      <c r="C446" s="5">
        <v>2025</v>
      </c>
      <c r="D446" s="5">
        <v>1</v>
      </c>
      <c r="E446" t="s">
        <v>25</v>
      </c>
      <c r="F446" t="s">
        <v>17</v>
      </c>
      <c r="G446" t="s">
        <v>40</v>
      </c>
      <c r="H446" t="s">
        <v>48</v>
      </c>
      <c r="I446" s="7">
        <v>-13566.929999999998</v>
      </c>
    </row>
    <row r="447" spans="1:10" x14ac:dyDescent="0.3">
      <c r="A447" s="3">
        <v>45715</v>
      </c>
      <c r="B447" s="5">
        <v>2</v>
      </c>
      <c r="C447" s="5">
        <v>2025</v>
      </c>
      <c r="D447" s="5">
        <v>1</v>
      </c>
      <c r="E447" t="s">
        <v>28</v>
      </c>
      <c r="F447" t="s">
        <v>17</v>
      </c>
      <c r="G447" t="s">
        <v>57</v>
      </c>
      <c r="H447" t="s">
        <v>67</v>
      </c>
      <c r="I447" s="7">
        <v>-15697.5</v>
      </c>
    </row>
    <row r="448" spans="1:10" x14ac:dyDescent="0.3">
      <c r="A448" s="3">
        <v>45715</v>
      </c>
      <c r="B448" s="5">
        <v>2</v>
      </c>
      <c r="C448" s="5">
        <v>2025</v>
      </c>
      <c r="D448" s="5">
        <v>1</v>
      </c>
      <c r="E448" t="s">
        <v>22</v>
      </c>
      <c r="F448" t="s">
        <v>17</v>
      </c>
      <c r="G448" t="s">
        <v>74</v>
      </c>
      <c r="H448" t="s">
        <v>80</v>
      </c>
      <c r="I448" s="7">
        <v>-9834.7800000000007</v>
      </c>
    </row>
    <row r="449" spans="1:10" x14ac:dyDescent="0.3">
      <c r="A449" s="3">
        <v>45716</v>
      </c>
      <c r="B449" s="5">
        <v>2</v>
      </c>
      <c r="C449" s="5">
        <v>2025</v>
      </c>
      <c r="D449" s="5">
        <v>1</v>
      </c>
      <c r="E449" t="s">
        <v>19</v>
      </c>
      <c r="F449" t="s">
        <v>17</v>
      </c>
      <c r="G449" t="s">
        <v>57</v>
      </c>
      <c r="H449" t="s">
        <v>61</v>
      </c>
      <c r="I449" s="7">
        <v>-30233.16</v>
      </c>
    </row>
    <row r="450" spans="1:10" x14ac:dyDescent="0.3">
      <c r="A450" s="3">
        <v>45717</v>
      </c>
      <c r="B450" s="5">
        <v>3</v>
      </c>
      <c r="C450" s="5">
        <v>2025</v>
      </c>
      <c r="D450" s="5">
        <v>1</v>
      </c>
      <c r="E450" t="s">
        <v>22</v>
      </c>
      <c r="F450" t="s">
        <v>10</v>
      </c>
      <c r="G450" t="s">
        <v>57</v>
      </c>
      <c r="H450" t="s">
        <v>62</v>
      </c>
      <c r="I450" s="7">
        <v>21252.02</v>
      </c>
      <c r="J450" s="7">
        <v>23086.34</v>
      </c>
    </row>
    <row r="451" spans="1:10" x14ac:dyDescent="0.3">
      <c r="A451" s="3">
        <v>45718</v>
      </c>
      <c r="B451" s="5">
        <v>3</v>
      </c>
      <c r="C451" s="5">
        <v>2025</v>
      </c>
      <c r="D451" s="5">
        <v>1</v>
      </c>
      <c r="E451" t="s">
        <v>34</v>
      </c>
      <c r="F451" t="s">
        <v>10</v>
      </c>
      <c r="G451" t="s">
        <v>15</v>
      </c>
      <c r="H451" t="s">
        <v>35</v>
      </c>
      <c r="I451" s="7">
        <v>10909.79</v>
      </c>
      <c r="J451" s="7">
        <v>11563.25</v>
      </c>
    </row>
    <row r="452" spans="1:10" x14ac:dyDescent="0.3">
      <c r="A452" s="3">
        <v>45718</v>
      </c>
      <c r="B452" s="5">
        <v>3</v>
      </c>
      <c r="C452" s="5">
        <v>2025</v>
      </c>
      <c r="D452" s="5">
        <v>1</v>
      </c>
      <c r="E452" t="s">
        <v>31</v>
      </c>
      <c r="F452" t="s">
        <v>17</v>
      </c>
      <c r="G452" t="s">
        <v>40</v>
      </c>
      <c r="H452" t="s">
        <v>52</v>
      </c>
      <c r="I452" s="7">
        <v>-4386.3</v>
      </c>
    </row>
    <row r="453" spans="1:10" x14ac:dyDescent="0.3">
      <c r="A453" s="3">
        <v>45718</v>
      </c>
      <c r="B453" s="5">
        <v>3</v>
      </c>
      <c r="C453" s="5">
        <v>2025</v>
      </c>
      <c r="D453" s="5">
        <v>1</v>
      </c>
      <c r="E453" t="s">
        <v>25</v>
      </c>
      <c r="F453" t="s">
        <v>17</v>
      </c>
      <c r="G453" t="s">
        <v>74</v>
      </c>
      <c r="H453" t="s">
        <v>82</v>
      </c>
      <c r="I453" s="7">
        <v>-12505.06</v>
      </c>
    </row>
    <row r="454" spans="1:10" x14ac:dyDescent="0.3">
      <c r="A454" s="3">
        <v>45720</v>
      </c>
      <c r="B454" s="5">
        <v>3</v>
      </c>
      <c r="C454" s="5">
        <v>2025</v>
      </c>
      <c r="D454" s="5">
        <v>1</v>
      </c>
      <c r="E454" t="s">
        <v>37</v>
      </c>
      <c r="F454" t="s">
        <v>10</v>
      </c>
      <c r="G454" t="s">
        <v>40</v>
      </c>
      <c r="H454" t="s">
        <v>55</v>
      </c>
      <c r="I454" s="7">
        <v>5879.02</v>
      </c>
      <c r="J454" s="7">
        <v>5739.91</v>
      </c>
    </row>
    <row r="455" spans="1:10" x14ac:dyDescent="0.3">
      <c r="A455" s="3">
        <v>45720</v>
      </c>
      <c r="B455" s="5">
        <v>3</v>
      </c>
      <c r="C455" s="5">
        <v>2025</v>
      </c>
      <c r="D455" s="5">
        <v>1</v>
      </c>
      <c r="E455" t="s">
        <v>22</v>
      </c>
      <c r="F455" t="s">
        <v>17</v>
      </c>
      <c r="G455" t="s">
        <v>57</v>
      </c>
      <c r="H455" t="s">
        <v>63</v>
      </c>
      <c r="I455" s="7">
        <v>-28077.18</v>
      </c>
    </row>
    <row r="456" spans="1:10" x14ac:dyDescent="0.3">
      <c r="A456" s="3">
        <v>45720</v>
      </c>
      <c r="B456" s="5">
        <v>3</v>
      </c>
      <c r="C456" s="5">
        <v>2025</v>
      </c>
      <c r="D456" s="5">
        <v>1</v>
      </c>
      <c r="E456" t="s">
        <v>34</v>
      </c>
      <c r="F456" t="s">
        <v>10</v>
      </c>
      <c r="G456" t="s">
        <v>57</v>
      </c>
      <c r="H456" t="s">
        <v>70</v>
      </c>
      <c r="I456" s="7">
        <v>13212.39</v>
      </c>
      <c r="J456" s="7">
        <v>14103.84</v>
      </c>
    </row>
    <row r="457" spans="1:10" x14ac:dyDescent="0.3">
      <c r="A457" s="3">
        <v>45720</v>
      </c>
      <c r="B457" s="5">
        <v>3</v>
      </c>
      <c r="C457" s="5">
        <v>2025</v>
      </c>
      <c r="D457" s="5">
        <v>1</v>
      </c>
      <c r="E457" t="s">
        <v>34</v>
      </c>
      <c r="F457" t="s">
        <v>17</v>
      </c>
      <c r="G457" t="s">
        <v>74</v>
      </c>
      <c r="H457" t="s">
        <v>88</v>
      </c>
      <c r="I457" s="7">
        <v>-9859.58</v>
      </c>
    </row>
    <row r="458" spans="1:10" x14ac:dyDescent="0.3">
      <c r="A458" s="3">
        <v>45721</v>
      </c>
      <c r="B458" s="5">
        <v>3</v>
      </c>
      <c r="C458" s="5">
        <v>2025</v>
      </c>
      <c r="D458" s="5">
        <v>1</v>
      </c>
      <c r="E458" t="s">
        <v>14</v>
      </c>
      <c r="F458" t="s">
        <v>10</v>
      </c>
      <c r="G458" t="s">
        <v>15</v>
      </c>
      <c r="H458" t="s">
        <v>16</v>
      </c>
      <c r="I458" s="7">
        <v>24794.400000000001</v>
      </c>
      <c r="J458" s="7">
        <v>24800.31</v>
      </c>
    </row>
    <row r="459" spans="1:10" x14ac:dyDescent="0.3">
      <c r="A459" s="3">
        <v>45721</v>
      </c>
      <c r="B459" s="5">
        <v>3</v>
      </c>
      <c r="C459" s="5">
        <v>2025</v>
      </c>
      <c r="D459" s="5">
        <v>1</v>
      </c>
      <c r="E459" t="s">
        <v>28</v>
      </c>
      <c r="F459" t="s">
        <v>17</v>
      </c>
      <c r="G459" t="s">
        <v>15</v>
      </c>
      <c r="H459" t="s">
        <v>30</v>
      </c>
      <c r="I459" s="7">
        <v>-12442.34</v>
      </c>
    </row>
    <row r="460" spans="1:10" x14ac:dyDescent="0.3">
      <c r="A460" s="3">
        <v>45721</v>
      </c>
      <c r="B460" s="5">
        <v>3</v>
      </c>
      <c r="C460" s="5">
        <v>2025</v>
      </c>
      <c r="D460" s="5">
        <v>1</v>
      </c>
      <c r="E460" t="s">
        <v>37</v>
      </c>
      <c r="F460" t="s">
        <v>17</v>
      </c>
      <c r="G460" t="s">
        <v>15</v>
      </c>
      <c r="H460" t="s">
        <v>39</v>
      </c>
      <c r="I460" s="7">
        <v>-7929.18</v>
      </c>
    </row>
    <row r="461" spans="1:10" x14ac:dyDescent="0.3">
      <c r="A461" s="3">
        <v>45722</v>
      </c>
      <c r="B461" s="5">
        <v>3</v>
      </c>
      <c r="C461" s="5">
        <v>2025</v>
      </c>
      <c r="D461" s="5">
        <v>1</v>
      </c>
      <c r="E461" t="s">
        <v>37</v>
      </c>
      <c r="F461" t="s">
        <v>10</v>
      </c>
      <c r="G461" t="s">
        <v>74</v>
      </c>
      <c r="H461" t="s">
        <v>89</v>
      </c>
      <c r="I461" s="7">
        <v>6358.98</v>
      </c>
      <c r="J461" s="7">
        <v>6377.26</v>
      </c>
    </row>
    <row r="462" spans="1:10" x14ac:dyDescent="0.3">
      <c r="A462" s="3">
        <v>45723</v>
      </c>
      <c r="B462" s="5">
        <v>3</v>
      </c>
      <c r="C462" s="5">
        <v>2025</v>
      </c>
      <c r="D462" s="5">
        <v>1</v>
      </c>
      <c r="E462" t="s">
        <v>34</v>
      </c>
      <c r="F462" t="s">
        <v>17</v>
      </c>
      <c r="G462" t="s">
        <v>57</v>
      </c>
      <c r="H462" t="s">
        <v>71</v>
      </c>
      <c r="I462" s="7">
        <v>-10188.1</v>
      </c>
    </row>
    <row r="463" spans="1:10" x14ac:dyDescent="0.3">
      <c r="A463" s="3">
        <v>45724</v>
      </c>
      <c r="B463" s="5">
        <v>3</v>
      </c>
      <c r="C463" s="5">
        <v>2025</v>
      </c>
      <c r="D463" s="5">
        <v>1</v>
      </c>
      <c r="E463" t="s">
        <v>22</v>
      </c>
      <c r="F463" t="s">
        <v>17</v>
      </c>
      <c r="G463" t="s">
        <v>74</v>
      </c>
      <c r="H463" t="s">
        <v>80</v>
      </c>
      <c r="I463" s="7">
        <v>-7651</v>
      </c>
    </row>
    <row r="464" spans="1:10" x14ac:dyDescent="0.3">
      <c r="A464" s="3">
        <v>45725</v>
      </c>
      <c r="B464" s="5">
        <v>3</v>
      </c>
      <c r="C464" s="5">
        <v>2025</v>
      </c>
      <c r="D464" s="5">
        <v>1</v>
      </c>
      <c r="E464" t="s">
        <v>28</v>
      </c>
      <c r="F464" t="s">
        <v>17</v>
      </c>
      <c r="G464" t="s">
        <v>40</v>
      </c>
      <c r="H464" t="s">
        <v>50</v>
      </c>
      <c r="I464" s="7">
        <v>-12960.83</v>
      </c>
    </row>
    <row r="465" spans="1:10" x14ac:dyDescent="0.3">
      <c r="A465" s="3">
        <v>45725</v>
      </c>
      <c r="B465" s="5">
        <v>3</v>
      </c>
      <c r="C465" s="5">
        <v>2025</v>
      </c>
      <c r="D465" s="5">
        <v>1</v>
      </c>
      <c r="E465" t="s">
        <v>28</v>
      </c>
      <c r="F465" t="s">
        <v>10</v>
      </c>
      <c r="G465" t="s">
        <v>57</v>
      </c>
      <c r="H465" t="s">
        <v>66</v>
      </c>
      <c r="I465" s="7">
        <v>18780.439999999999</v>
      </c>
      <c r="J465" s="7">
        <v>19806.73</v>
      </c>
    </row>
    <row r="466" spans="1:10" x14ac:dyDescent="0.3">
      <c r="A466" s="3">
        <v>45725</v>
      </c>
      <c r="B466" s="5">
        <v>3</v>
      </c>
      <c r="C466" s="5">
        <v>2025</v>
      </c>
      <c r="D466" s="5">
        <v>1</v>
      </c>
      <c r="E466" t="s">
        <v>14</v>
      </c>
      <c r="F466" t="s">
        <v>17</v>
      </c>
      <c r="G466" t="s">
        <v>74</v>
      </c>
      <c r="H466" t="s">
        <v>76</v>
      </c>
      <c r="I466" s="7">
        <v>-27683.93</v>
      </c>
    </row>
    <row r="467" spans="1:10" x14ac:dyDescent="0.3">
      <c r="A467" s="3">
        <v>45726</v>
      </c>
      <c r="B467" s="5">
        <v>3</v>
      </c>
      <c r="C467" s="5">
        <v>2025</v>
      </c>
      <c r="D467" s="5">
        <v>1</v>
      </c>
      <c r="E467" t="s">
        <v>25</v>
      </c>
      <c r="F467" t="s">
        <v>10</v>
      </c>
      <c r="G467" t="s">
        <v>40</v>
      </c>
      <c r="H467" t="s">
        <v>47</v>
      </c>
      <c r="I467" s="7">
        <v>7749.37</v>
      </c>
      <c r="J467" s="7">
        <v>8515.94</v>
      </c>
    </row>
    <row r="468" spans="1:10" x14ac:dyDescent="0.3">
      <c r="A468" s="3">
        <v>45726</v>
      </c>
      <c r="B468" s="5">
        <v>3</v>
      </c>
      <c r="C468" s="5">
        <v>2025</v>
      </c>
      <c r="D468" s="5">
        <v>1</v>
      </c>
      <c r="E468" t="s">
        <v>22</v>
      </c>
      <c r="F468" t="s">
        <v>10</v>
      </c>
      <c r="G468" t="s">
        <v>74</v>
      </c>
      <c r="H468" t="s">
        <v>79</v>
      </c>
      <c r="I468" s="7">
        <v>19047</v>
      </c>
      <c r="J468" s="7">
        <v>19389.93</v>
      </c>
    </row>
    <row r="469" spans="1:10" x14ac:dyDescent="0.3">
      <c r="A469" s="3">
        <v>45727</v>
      </c>
      <c r="B469" s="5">
        <v>3</v>
      </c>
      <c r="C469" s="5">
        <v>2025</v>
      </c>
      <c r="D469" s="5">
        <v>1</v>
      </c>
      <c r="E469" t="s">
        <v>37</v>
      </c>
      <c r="F469" t="s">
        <v>10</v>
      </c>
      <c r="G469" t="s">
        <v>15</v>
      </c>
      <c r="H469" t="s">
        <v>38</v>
      </c>
      <c r="I469" s="7">
        <v>7411.2</v>
      </c>
      <c r="J469" s="7">
        <v>8118.35</v>
      </c>
    </row>
    <row r="470" spans="1:10" x14ac:dyDescent="0.3">
      <c r="A470" s="3">
        <v>45727</v>
      </c>
      <c r="B470" s="5">
        <v>3</v>
      </c>
      <c r="C470" s="5">
        <v>2025</v>
      </c>
      <c r="D470" s="5">
        <v>1</v>
      </c>
      <c r="E470" t="s">
        <v>31</v>
      </c>
      <c r="F470" t="s">
        <v>17</v>
      </c>
      <c r="G470" t="s">
        <v>74</v>
      </c>
      <c r="H470" t="s">
        <v>86</v>
      </c>
      <c r="I470" s="7">
        <v>-6688.22</v>
      </c>
    </row>
    <row r="471" spans="1:10" x14ac:dyDescent="0.3">
      <c r="A471" s="3">
        <v>45728</v>
      </c>
      <c r="B471" s="5">
        <v>3</v>
      </c>
      <c r="C471" s="5">
        <v>2025</v>
      </c>
      <c r="D471" s="5">
        <v>1</v>
      </c>
      <c r="E471" t="s">
        <v>14</v>
      </c>
      <c r="F471" t="s">
        <v>17</v>
      </c>
      <c r="G471" t="s">
        <v>57</v>
      </c>
      <c r="H471" t="s">
        <v>59</v>
      </c>
      <c r="I471" s="7">
        <v>-12415.77</v>
      </c>
    </row>
    <row r="472" spans="1:10" x14ac:dyDescent="0.3">
      <c r="A472" s="3">
        <v>45729</v>
      </c>
      <c r="B472" s="5">
        <v>3</v>
      </c>
      <c r="C472" s="5">
        <v>2025</v>
      </c>
      <c r="D472" s="5">
        <v>1</v>
      </c>
      <c r="E472" t="s">
        <v>25</v>
      </c>
      <c r="F472" t="s">
        <v>17</v>
      </c>
      <c r="G472" t="s">
        <v>40</v>
      </c>
      <c r="H472" t="s">
        <v>48</v>
      </c>
      <c r="I472" s="7">
        <v>-4708.74</v>
      </c>
    </row>
    <row r="473" spans="1:10" x14ac:dyDescent="0.3">
      <c r="A473" s="3">
        <v>45729</v>
      </c>
      <c r="B473" s="5">
        <v>3</v>
      </c>
      <c r="C473" s="5">
        <v>2025</v>
      </c>
      <c r="D473" s="5">
        <v>1</v>
      </c>
      <c r="E473" t="s">
        <v>34</v>
      </c>
      <c r="F473" t="s">
        <v>10</v>
      </c>
      <c r="G473" t="s">
        <v>74</v>
      </c>
      <c r="H473" t="s">
        <v>87</v>
      </c>
      <c r="I473" s="7">
        <v>8748.32</v>
      </c>
      <c r="J473" s="7">
        <v>9372.2900000000009</v>
      </c>
    </row>
    <row r="474" spans="1:10" x14ac:dyDescent="0.3">
      <c r="A474" s="3">
        <v>45730</v>
      </c>
      <c r="B474" s="5">
        <v>3</v>
      </c>
      <c r="C474" s="5">
        <v>2025</v>
      </c>
      <c r="D474" s="5">
        <v>1</v>
      </c>
      <c r="E474" t="s">
        <v>25</v>
      </c>
      <c r="F474" t="s">
        <v>17</v>
      </c>
      <c r="G474" t="s">
        <v>15</v>
      </c>
      <c r="H474" t="s">
        <v>27</v>
      </c>
      <c r="I474" s="7">
        <v>-5305.94</v>
      </c>
    </row>
    <row r="475" spans="1:10" x14ac:dyDescent="0.3">
      <c r="A475" s="3">
        <v>45730</v>
      </c>
      <c r="B475" s="5">
        <v>3</v>
      </c>
      <c r="C475" s="5">
        <v>2025</v>
      </c>
      <c r="D475" s="5">
        <v>1</v>
      </c>
      <c r="E475" t="s">
        <v>25</v>
      </c>
      <c r="F475" t="s">
        <v>17</v>
      </c>
      <c r="G475" t="s">
        <v>57</v>
      </c>
      <c r="H475" t="s">
        <v>65</v>
      </c>
      <c r="I475" s="7">
        <v>-10468</v>
      </c>
    </row>
    <row r="476" spans="1:10" x14ac:dyDescent="0.3">
      <c r="A476" s="3">
        <v>45731</v>
      </c>
      <c r="B476" s="5">
        <v>3</v>
      </c>
      <c r="C476" s="5">
        <v>2025</v>
      </c>
      <c r="D476" s="5">
        <v>1</v>
      </c>
      <c r="E476" t="s">
        <v>37</v>
      </c>
      <c r="F476" t="s">
        <v>17</v>
      </c>
      <c r="G476" t="s">
        <v>40</v>
      </c>
      <c r="H476" t="s">
        <v>56</v>
      </c>
      <c r="I476" s="7">
        <v>-4166.78</v>
      </c>
    </row>
    <row r="477" spans="1:10" x14ac:dyDescent="0.3">
      <c r="A477" s="3">
        <v>45731</v>
      </c>
      <c r="B477" s="5">
        <v>3</v>
      </c>
      <c r="C477" s="5">
        <v>2025</v>
      </c>
      <c r="D477" s="5">
        <v>1</v>
      </c>
      <c r="E477" t="s">
        <v>14</v>
      </c>
      <c r="F477" t="s">
        <v>10</v>
      </c>
      <c r="G477" t="s">
        <v>57</v>
      </c>
      <c r="H477" t="s">
        <v>58</v>
      </c>
      <c r="I477" s="7">
        <v>24070.63</v>
      </c>
      <c r="J477" s="7">
        <v>22865.7</v>
      </c>
    </row>
    <row r="478" spans="1:10" x14ac:dyDescent="0.3">
      <c r="A478" s="3">
        <v>45731</v>
      </c>
      <c r="B478" s="5">
        <v>3</v>
      </c>
      <c r="C478" s="5">
        <v>2025</v>
      </c>
      <c r="D478" s="5">
        <v>1</v>
      </c>
      <c r="E478" t="s">
        <v>31</v>
      </c>
      <c r="F478" t="s">
        <v>17</v>
      </c>
      <c r="G478" t="s">
        <v>57</v>
      </c>
      <c r="H478" t="s">
        <v>69</v>
      </c>
      <c r="I478" s="7">
        <v>-5412.91</v>
      </c>
    </row>
    <row r="479" spans="1:10" x14ac:dyDescent="0.3">
      <c r="A479" s="3">
        <v>45731</v>
      </c>
      <c r="B479" s="5">
        <v>3</v>
      </c>
      <c r="C479" s="5">
        <v>2025</v>
      </c>
      <c r="D479" s="5">
        <v>1</v>
      </c>
      <c r="E479" t="s">
        <v>19</v>
      </c>
      <c r="F479" t="s">
        <v>10</v>
      </c>
      <c r="G479" t="s">
        <v>74</v>
      </c>
      <c r="H479" t="s">
        <v>77</v>
      </c>
      <c r="I479" s="7">
        <v>19799.02</v>
      </c>
      <c r="J479" s="7">
        <v>20690.330000000002</v>
      </c>
    </row>
    <row r="480" spans="1:10" x14ac:dyDescent="0.3">
      <c r="A480" s="3">
        <v>45731</v>
      </c>
      <c r="B480" s="5">
        <v>3</v>
      </c>
      <c r="C480" s="5">
        <v>2025</v>
      </c>
      <c r="D480" s="5">
        <v>1</v>
      </c>
      <c r="E480" t="s">
        <v>31</v>
      </c>
      <c r="F480" t="s">
        <v>10</v>
      </c>
      <c r="G480" t="s">
        <v>74</v>
      </c>
      <c r="H480" t="s">
        <v>85</v>
      </c>
      <c r="I480" s="7">
        <v>4999.66</v>
      </c>
      <c r="J480" s="7">
        <v>4882.07</v>
      </c>
    </row>
    <row r="481" spans="1:10" x14ac:dyDescent="0.3">
      <c r="A481" s="3">
        <v>45732</v>
      </c>
      <c r="B481" s="5">
        <v>3</v>
      </c>
      <c r="C481" s="5">
        <v>2025</v>
      </c>
      <c r="D481" s="5">
        <v>1</v>
      </c>
      <c r="E481" t="s">
        <v>25</v>
      </c>
      <c r="F481" t="s">
        <v>10</v>
      </c>
      <c r="G481" t="s">
        <v>57</v>
      </c>
      <c r="H481" t="s">
        <v>64</v>
      </c>
      <c r="I481" s="7">
        <v>7059.47</v>
      </c>
      <c r="J481" s="7">
        <v>6973.86</v>
      </c>
    </row>
    <row r="482" spans="1:10" x14ac:dyDescent="0.3">
      <c r="A482" s="3">
        <v>45732</v>
      </c>
      <c r="B482" s="5">
        <v>3</v>
      </c>
      <c r="C482" s="5">
        <v>2025</v>
      </c>
      <c r="D482" s="5">
        <v>1</v>
      </c>
      <c r="E482" t="s">
        <v>37</v>
      </c>
      <c r="F482" t="s">
        <v>10</v>
      </c>
      <c r="G482" t="s">
        <v>57</v>
      </c>
      <c r="H482" t="s">
        <v>72</v>
      </c>
      <c r="I482" s="7">
        <v>5289.76</v>
      </c>
      <c r="J482" s="7">
        <v>4926.34</v>
      </c>
    </row>
    <row r="483" spans="1:10" x14ac:dyDescent="0.3">
      <c r="A483" s="3">
        <v>45732</v>
      </c>
      <c r="B483" s="5">
        <v>3</v>
      </c>
      <c r="C483" s="5">
        <v>2025</v>
      </c>
      <c r="D483" s="5">
        <v>1</v>
      </c>
      <c r="E483" t="s">
        <v>37</v>
      </c>
      <c r="F483" t="s">
        <v>17</v>
      </c>
      <c r="G483" t="s">
        <v>57</v>
      </c>
      <c r="H483" t="s">
        <v>73</v>
      </c>
      <c r="I483" s="7">
        <v>-2615.4899999999998</v>
      </c>
    </row>
    <row r="484" spans="1:10" x14ac:dyDescent="0.3">
      <c r="A484" s="3">
        <v>45732</v>
      </c>
      <c r="B484" s="5">
        <v>3</v>
      </c>
      <c r="C484" s="5">
        <v>2025</v>
      </c>
      <c r="D484" s="5">
        <v>1</v>
      </c>
      <c r="E484" t="s">
        <v>28</v>
      </c>
      <c r="F484" t="s">
        <v>10</v>
      </c>
      <c r="G484" t="s">
        <v>74</v>
      </c>
      <c r="H484" t="s">
        <v>83</v>
      </c>
      <c r="I484" s="7">
        <v>14216.98</v>
      </c>
      <c r="J484" s="7">
        <v>14672.83</v>
      </c>
    </row>
    <row r="485" spans="1:10" x14ac:dyDescent="0.3">
      <c r="A485" s="3">
        <v>45733</v>
      </c>
      <c r="B485" s="5">
        <v>3</v>
      </c>
      <c r="C485" s="5">
        <v>2025</v>
      </c>
      <c r="D485" s="5">
        <v>1</v>
      </c>
      <c r="E485" t="s">
        <v>22</v>
      </c>
      <c r="F485" t="s">
        <v>17</v>
      </c>
      <c r="G485" t="s">
        <v>15</v>
      </c>
      <c r="H485" t="s">
        <v>24</v>
      </c>
      <c r="I485" s="7">
        <v>-35973.14</v>
      </c>
    </row>
    <row r="486" spans="1:10" x14ac:dyDescent="0.3">
      <c r="A486" s="3">
        <v>45733</v>
      </c>
      <c r="B486" s="5">
        <v>3</v>
      </c>
      <c r="C486" s="5">
        <v>2025</v>
      </c>
      <c r="D486" s="5">
        <v>1</v>
      </c>
      <c r="E486" t="s">
        <v>25</v>
      </c>
      <c r="F486" t="s">
        <v>10</v>
      </c>
      <c r="G486" t="s">
        <v>15</v>
      </c>
      <c r="H486" t="s">
        <v>26</v>
      </c>
      <c r="I486" s="7">
        <v>9443.1</v>
      </c>
      <c r="J486" s="7">
        <v>9465.2999999999993</v>
      </c>
    </row>
    <row r="487" spans="1:10" x14ac:dyDescent="0.3">
      <c r="A487" s="3">
        <v>45733</v>
      </c>
      <c r="B487" s="5">
        <v>3</v>
      </c>
      <c r="C487" s="5">
        <v>2025</v>
      </c>
      <c r="D487" s="5">
        <v>1</v>
      </c>
      <c r="E487" t="s">
        <v>31</v>
      </c>
      <c r="F487" t="s">
        <v>17</v>
      </c>
      <c r="G487" t="s">
        <v>15</v>
      </c>
      <c r="H487" t="s">
        <v>33</v>
      </c>
      <c r="I487" s="7">
        <v>-8690.7099999999991</v>
      </c>
    </row>
    <row r="488" spans="1:10" x14ac:dyDescent="0.3">
      <c r="A488" s="3">
        <v>45733</v>
      </c>
      <c r="B488" s="5">
        <v>3</v>
      </c>
      <c r="C488" s="5">
        <v>2025</v>
      </c>
      <c r="D488" s="5">
        <v>1</v>
      </c>
      <c r="E488" t="s">
        <v>34</v>
      </c>
      <c r="F488" t="s">
        <v>17</v>
      </c>
      <c r="G488" t="s">
        <v>15</v>
      </c>
      <c r="H488" t="s">
        <v>36</v>
      </c>
      <c r="I488" s="7">
        <v>-16746.689999999999</v>
      </c>
    </row>
    <row r="489" spans="1:10" x14ac:dyDescent="0.3">
      <c r="A489" s="3">
        <v>45733</v>
      </c>
      <c r="B489" s="5">
        <v>3</v>
      </c>
      <c r="C489" s="5">
        <v>2025</v>
      </c>
      <c r="D489" s="5">
        <v>1</v>
      </c>
      <c r="E489" t="s">
        <v>14</v>
      </c>
      <c r="F489" t="s">
        <v>10</v>
      </c>
      <c r="G489" t="s">
        <v>74</v>
      </c>
      <c r="H489" t="s">
        <v>75</v>
      </c>
      <c r="I489" s="7">
        <v>26016.06</v>
      </c>
      <c r="J489" s="7">
        <v>27219.99</v>
      </c>
    </row>
    <row r="490" spans="1:10" x14ac:dyDescent="0.3">
      <c r="A490" s="3">
        <v>45734</v>
      </c>
      <c r="B490" s="5">
        <v>3</v>
      </c>
      <c r="C490" s="5">
        <v>2025</v>
      </c>
      <c r="D490" s="5">
        <v>1</v>
      </c>
      <c r="E490" t="s">
        <v>19</v>
      </c>
      <c r="F490" t="s">
        <v>17</v>
      </c>
      <c r="G490" t="s">
        <v>15</v>
      </c>
      <c r="H490" t="s">
        <v>21</v>
      </c>
      <c r="I490" s="7">
        <v>-8419.49</v>
      </c>
    </row>
    <row r="491" spans="1:10" x14ac:dyDescent="0.3">
      <c r="A491" s="3">
        <v>45734</v>
      </c>
      <c r="B491" s="5">
        <v>3</v>
      </c>
      <c r="C491" s="5">
        <v>2025</v>
      </c>
      <c r="D491" s="5">
        <v>1</v>
      </c>
      <c r="E491" t="s">
        <v>25</v>
      </c>
      <c r="F491" t="s">
        <v>10</v>
      </c>
      <c r="G491" t="s">
        <v>74</v>
      </c>
      <c r="H491" t="s">
        <v>81</v>
      </c>
      <c r="I491" s="7">
        <v>8356.92</v>
      </c>
      <c r="J491" s="7">
        <v>8205.35</v>
      </c>
    </row>
    <row r="492" spans="1:10" x14ac:dyDescent="0.3">
      <c r="A492" s="3">
        <v>45735</v>
      </c>
      <c r="B492" s="5">
        <v>3</v>
      </c>
      <c r="C492" s="5">
        <v>2025</v>
      </c>
      <c r="D492" s="5">
        <v>1</v>
      </c>
      <c r="E492" t="s">
        <v>22</v>
      </c>
      <c r="F492" t="s">
        <v>17</v>
      </c>
      <c r="G492" t="s">
        <v>40</v>
      </c>
      <c r="H492" t="s">
        <v>46</v>
      </c>
      <c r="I492" s="7">
        <v>-31027.34</v>
      </c>
    </row>
    <row r="493" spans="1:10" x14ac:dyDescent="0.3">
      <c r="A493" s="3">
        <v>45735</v>
      </c>
      <c r="B493" s="5">
        <v>3</v>
      </c>
      <c r="C493" s="5">
        <v>2025</v>
      </c>
      <c r="D493" s="5">
        <v>1</v>
      </c>
      <c r="E493" t="s">
        <v>34</v>
      </c>
      <c r="F493" t="s">
        <v>17</v>
      </c>
      <c r="G493" t="s">
        <v>40</v>
      </c>
      <c r="H493" t="s">
        <v>54</v>
      </c>
      <c r="I493" s="7">
        <v>-6247.06</v>
      </c>
    </row>
    <row r="494" spans="1:10" x14ac:dyDescent="0.3">
      <c r="A494" s="3">
        <v>45735</v>
      </c>
      <c r="B494" s="5">
        <v>3</v>
      </c>
      <c r="C494" s="5">
        <v>2025</v>
      </c>
      <c r="D494" s="5">
        <v>1</v>
      </c>
      <c r="E494" t="s">
        <v>19</v>
      </c>
      <c r="F494" t="s">
        <v>10</v>
      </c>
      <c r="G494" t="s">
        <v>57</v>
      </c>
      <c r="H494" t="s">
        <v>60</v>
      </c>
      <c r="I494" s="7">
        <v>21955.98</v>
      </c>
      <c r="J494" s="7">
        <v>22893.19</v>
      </c>
    </row>
    <row r="495" spans="1:10" x14ac:dyDescent="0.3">
      <c r="A495" s="3">
        <v>45736</v>
      </c>
      <c r="B495" s="5">
        <v>3</v>
      </c>
      <c r="C495" s="5">
        <v>2025</v>
      </c>
      <c r="D495" s="5">
        <v>1</v>
      </c>
      <c r="E495" t="s">
        <v>28</v>
      </c>
      <c r="F495" t="s">
        <v>10</v>
      </c>
      <c r="G495" t="s">
        <v>40</v>
      </c>
      <c r="H495" t="s">
        <v>49</v>
      </c>
      <c r="I495" s="7">
        <v>14674</v>
      </c>
      <c r="J495" s="7">
        <v>14457.89</v>
      </c>
    </row>
    <row r="496" spans="1:10" x14ac:dyDescent="0.3">
      <c r="A496" s="3">
        <v>45737</v>
      </c>
      <c r="B496" s="5">
        <v>3</v>
      </c>
      <c r="C496" s="5">
        <v>2025</v>
      </c>
      <c r="D496" s="5">
        <v>1</v>
      </c>
      <c r="E496" t="s">
        <v>19</v>
      </c>
      <c r="F496" t="s">
        <v>17</v>
      </c>
      <c r="G496" t="s">
        <v>57</v>
      </c>
      <c r="H496" t="s">
        <v>61</v>
      </c>
      <c r="I496" s="7">
        <v>-8746.75</v>
      </c>
    </row>
    <row r="497" spans="1:10" x14ac:dyDescent="0.3">
      <c r="A497" s="3">
        <v>45737</v>
      </c>
      <c r="B497" s="5">
        <v>3</v>
      </c>
      <c r="C497" s="5">
        <v>2025</v>
      </c>
      <c r="D497" s="5">
        <v>1</v>
      </c>
      <c r="E497" t="s">
        <v>28</v>
      </c>
      <c r="F497" t="s">
        <v>17</v>
      </c>
      <c r="G497" t="s">
        <v>57</v>
      </c>
      <c r="H497" t="s">
        <v>67</v>
      </c>
      <c r="I497" s="7">
        <v>-28812.3</v>
      </c>
    </row>
    <row r="498" spans="1:10" x14ac:dyDescent="0.3">
      <c r="A498" s="3">
        <v>45738</v>
      </c>
      <c r="B498" s="5">
        <v>3</v>
      </c>
      <c r="C498" s="5">
        <v>2025</v>
      </c>
      <c r="D498" s="5">
        <v>1</v>
      </c>
      <c r="E498" t="s">
        <v>22</v>
      </c>
      <c r="F498" t="s">
        <v>10</v>
      </c>
      <c r="G498" t="s">
        <v>15</v>
      </c>
      <c r="H498" t="s">
        <v>23</v>
      </c>
      <c r="I498" s="7">
        <v>24490.5</v>
      </c>
      <c r="J498" s="7">
        <v>26607.3</v>
      </c>
    </row>
    <row r="499" spans="1:10" x14ac:dyDescent="0.3">
      <c r="A499" s="3">
        <v>45738</v>
      </c>
      <c r="B499" s="5">
        <v>3</v>
      </c>
      <c r="C499" s="5">
        <v>2025</v>
      </c>
      <c r="D499" s="5">
        <v>1</v>
      </c>
      <c r="E499" t="s">
        <v>28</v>
      </c>
      <c r="F499" t="s">
        <v>10</v>
      </c>
      <c r="G499" t="s">
        <v>15</v>
      </c>
      <c r="H499" t="s">
        <v>29</v>
      </c>
      <c r="I499" s="7">
        <v>14574.21</v>
      </c>
      <c r="J499" s="7">
        <v>14210.3</v>
      </c>
    </row>
    <row r="500" spans="1:10" x14ac:dyDescent="0.3">
      <c r="A500" s="3">
        <v>45738</v>
      </c>
      <c r="B500" s="5">
        <v>3</v>
      </c>
      <c r="C500" s="5">
        <v>2025</v>
      </c>
      <c r="D500" s="5">
        <v>1</v>
      </c>
      <c r="E500" t="s">
        <v>14</v>
      </c>
      <c r="F500" t="s">
        <v>17</v>
      </c>
      <c r="G500" t="s">
        <v>40</v>
      </c>
      <c r="H500" t="s">
        <v>42</v>
      </c>
      <c r="I500" s="7">
        <v>-26070.73</v>
      </c>
    </row>
    <row r="501" spans="1:10" x14ac:dyDescent="0.3">
      <c r="A501" s="3">
        <v>45738</v>
      </c>
      <c r="B501" s="5">
        <v>3</v>
      </c>
      <c r="C501" s="5">
        <v>2025</v>
      </c>
      <c r="D501" s="5">
        <v>1</v>
      </c>
      <c r="E501" t="s">
        <v>19</v>
      </c>
      <c r="F501" t="s">
        <v>17</v>
      </c>
      <c r="G501" t="s">
        <v>74</v>
      </c>
      <c r="H501" t="s">
        <v>78</v>
      </c>
      <c r="I501" s="7">
        <v>-14632.54</v>
      </c>
    </row>
    <row r="502" spans="1:10" x14ac:dyDescent="0.3">
      <c r="A502" s="3">
        <v>45741</v>
      </c>
      <c r="B502" s="5">
        <v>3</v>
      </c>
      <c r="C502" s="5">
        <v>2025</v>
      </c>
      <c r="D502" s="5">
        <v>1</v>
      </c>
      <c r="E502" t="s">
        <v>22</v>
      </c>
      <c r="F502" t="s">
        <v>10</v>
      </c>
      <c r="G502" t="s">
        <v>40</v>
      </c>
      <c r="H502" t="s">
        <v>45</v>
      </c>
      <c r="I502" s="7">
        <v>28615.279999999999</v>
      </c>
      <c r="J502" s="7">
        <v>29361.48</v>
      </c>
    </row>
    <row r="503" spans="1:10" x14ac:dyDescent="0.3">
      <c r="A503" s="3">
        <v>45741</v>
      </c>
      <c r="B503" s="5">
        <v>3</v>
      </c>
      <c r="C503" s="5">
        <v>2025</v>
      </c>
      <c r="D503" s="5">
        <v>1</v>
      </c>
      <c r="E503" t="s">
        <v>34</v>
      </c>
      <c r="F503" t="s">
        <v>10</v>
      </c>
      <c r="G503" t="s">
        <v>40</v>
      </c>
      <c r="H503" t="s">
        <v>53</v>
      </c>
      <c r="I503" s="7">
        <v>14005.23</v>
      </c>
      <c r="J503" s="7">
        <v>15129.64</v>
      </c>
    </row>
    <row r="504" spans="1:10" x14ac:dyDescent="0.3">
      <c r="A504" s="3">
        <v>45742</v>
      </c>
      <c r="B504" s="5">
        <v>3</v>
      </c>
      <c r="C504" s="5">
        <v>2025</v>
      </c>
      <c r="D504" s="5">
        <v>1</v>
      </c>
      <c r="E504" t="s">
        <v>19</v>
      </c>
      <c r="F504" t="s">
        <v>10</v>
      </c>
      <c r="G504" t="s">
        <v>40</v>
      </c>
      <c r="H504" t="s">
        <v>43</v>
      </c>
      <c r="I504" s="7">
        <v>26480.97</v>
      </c>
      <c r="J504" s="7">
        <v>27914.71</v>
      </c>
    </row>
    <row r="505" spans="1:10" x14ac:dyDescent="0.3">
      <c r="A505" s="3">
        <v>45743</v>
      </c>
      <c r="B505" s="5">
        <v>3</v>
      </c>
      <c r="C505" s="5">
        <v>2025</v>
      </c>
      <c r="D505" s="5">
        <v>1</v>
      </c>
      <c r="E505" t="s">
        <v>14</v>
      </c>
      <c r="F505" t="s">
        <v>17</v>
      </c>
      <c r="G505" t="s">
        <v>15</v>
      </c>
      <c r="H505" t="s">
        <v>18</v>
      </c>
      <c r="I505" s="7">
        <v>-27040.84</v>
      </c>
    </row>
    <row r="506" spans="1:10" x14ac:dyDescent="0.3">
      <c r="A506" s="3">
        <v>45743</v>
      </c>
      <c r="B506" s="5">
        <v>3</v>
      </c>
      <c r="C506" s="5">
        <v>2025</v>
      </c>
      <c r="D506" s="5">
        <v>1</v>
      </c>
      <c r="E506" t="s">
        <v>19</v>
      </c>
      <c r="F506" t="s">
        <v>17</v>
      </c>
      <c r="G506" t="s">
        <v>40</v>
      </c>
      <c r="H506" t="s">
        <v>44</v>
      </c>
      <c r="I506" s="7">
        <v>-17490.29</v>
      </c>
    </row>
    <row r="507" spans="1:10" x14ac:dyDescent="0.3">
      <c r="A507" s="3">
        <v>45743</v>
      </c>
      <c r="B507" s="5">
        <v>3</v>
      </c>
      <c r="C507" s="5">
        <v>2025</v>
      </c>
      <c r="D507" s="5">
        <v>1</v>
      </c>
      <c r="E507" t="s">
        <v>31</v>
      </c>
      <c r="F507" t="s">
        <v>10</v>
      </c>
      <c r="G507" t="s">
        <v>57</v>
      </c>
      <c r="H507" t="s">
        <v>68</v>
      </c>
      <c r="I507" s="7">
        <v>4747.37</v>
      </c>
      <c r="J507" s="7">
        <v>5000.16</v>
      </c>
    </row>
    <row r="508" spans="1:10" x14ac:dyDescent="0.3">
      <c r="A508" s="3">
        <v>45744</v>
      </c>
      <c r="B508" s="5">
        <v>3</v>
      </c>
      <c r="C508" s="5">
        <v>2025</v>
      </c>
      <c r="D508" s="5">
        <v>1</v>
      </c>
      <c r="E508" t="s">
        <v>14</v>
      </c>
      <c r="F508" t="s">
        <v>10</v>
      </c>
      <c r="G508" t="s">
        <v>40</v>
      </c>
      <c r="H508" t="s">
        <v>41</v>
      </c>
      <c r="I508" s="7">
        <v>33069.660000000003</v>
      </c>
      <c r="J508" s="7">
        <v>32296.31</v>
      </c>
    </row>
    <row r="509" spans="1:10" x14ac:dyDescent="0.3">
      <c r="A509" s="3">
        <v>45744</v>
      </c>
      <c r="B509" s="5">
        <v>3</v>
      </c>
      <c r="C509" s="5">
        <v>2025</v>
      </c>
      <c r="D509" s="5">
        <v>1</v>
      </c>
      <c r="E509" t="s">
        <v>28</v>
      </c>
      <c r="F509" t="s">
        <v>17</v>
      </c>
      <c r="G509" t="s">
        <v>74</v>
      </c>
      <c r="H509" t="s">
        <v>84</v>
      </c>
      <c r="I509" s="7">
        <v>-15636.11</v>
      </c>
    </row>
    <row r="510" spans="1:10" x14ac:dyDescent="0.3">
      <c r="A510" s="3">
        <v>45744</v>
      </c>
      <c r="B510" s="5">
        <v>3</v>
      </c>
      <c r="C510" s="5">
        <v>2025</v>
      </c>
      <c r="D510" s="5">
        <v>1</v>
      </c>
      <c r="E510" t="s">
        <v>37</v>
      </c>
      <c r="F510" t="s">
        <v>17</v>
      </c>
      <c r="G510" t="s">
        <v>74</v>
      </c>
      <c r="H510" t="s">
        <v>90</v>
      </c>
      <c r="I510" s="7">
        <v>-2363.2199999999998</v>
      </c>
    </row>
    <row r="511" spans="1:10" x14ac:dyDescent="0.3">
      <c r="A511" s="3">
        <v>45745</v>
      </c>
      <c r="B511" s="5">
        <v>3</v>
      </c>
      <c r="C511" s="5">
        <v>2025</v>
      </c>
      <c r="D511" s="5">
        <v>1</v>
      </c>
      <c r="E511" t="s">
        <v>19</v>
      </c>
      <c r="F511" t="s">
        <v>10</v>
      </c>
      <c r="G511" t="s">
        <v>15</v>
      </c>
      <c r="H511" t="s">
        <v>20</v>
      </c>
      <c r="I511" s="7">
        <v>23702.9</v>
      </c>
      <c r="J511" s="7">
        <v>23812.5</v>
      </c>
    </row>
    <row r="512" spans="1:10" x14ac:dyDescent="0.3">
      <c r="A512" s="3">
        <v>45745</v>
      </c>
      <c r="B512" s="5">
        <v>3</v>
      </c>
      <c r="C512" s="5">
        <v>2025</v>
      </c>
      <c r="D512" s="5">
        <v>1</v>
      </c>
      <c r="E512" t="s">
        <v>31</v>
      </c>
      <c r="F512" t="s">
        <v>10</v>
      </c>
      <c r="G512" t="s">
        <v>15</v>
      </c>
      <c r="H512" t="s">
        <v>32</v>
      </c>
      <c r="I512" s="7">
        <v>5769.22</v>
      </c>
      <c r="J512" s="7">
        <v>5667.14</v>
      </c>
    </row>
    <row r="513" spans="1:10" x14ac:dyDescent="0.3">
      <c r="A513" s="3">
        <v>45745</v>
      </c>
      <c r="B513" s="5">
        <v>3</v>
      </c>
      <c r="C513" s="5">
        <v>2025</v>
      </c>
      <c r="D513" s="5">
        <v>1</v>
      </c>
      <c r="E513" t="s">
        <v>31</v>
      </c>
      <c r="F513" t="s">
        <v>10</v>
      </c>
      <c r="G513" t="s">
        <v>40</v>
      </c>
      <c r="H513" t="s">
        <v>51</v>
      </c>
      <c r="I513" s="7">
        <v>5328.76</v>
      </c>
      <c r="J513" s="7">
        <v>5836.89</v>
      </c>
    </row>
    <row r="514" spans="1:10" x14ac:dyDescent="0.3">
      <c r="A514" s="3">
        <v>45748</v>
      </c>
      <c r="B514" s="5">
        <v>4</v>
      </c>
      <c r="C514" s="5">
        <v>2025</v>
      </c>
      <c r="D514" s="5">
        <v>2</v>
      </c>
      <c r="E514" t="s">
        <v>28</v>
      </c>
      <c r="F514" t="s">
        <v>17</v>
      </c>
      <c r="G514" t="s">
        <v>40</v>
      </c>
      <c r="H514" t="s">
        <v>50</v>
      </c>
      <c r="I514" s="7">
        <v>-6745.4</v>
      </c>
    </row>
    <row r="515" spans="1:10" x14ac:dyDescent="0.3">
      <c r="A515" s="3">
        <v>45749</v>
      </c>
      <c r="B515" s="5">
        <v>4</v>
      </c>
      <c r="C515" s="5">
        <v>2025</v>
      </c>
      <c r="D515" s="5">
        <v>2</v>
      </c>
      <c r="E515" t="s">
        <v>19</v>
      </c>
      <c r="F515" t="s">
        <v>10</v>
      </c>
      <c r="G515" t="s">
        <v>15</v>
      </c>
      <c r="H515" t="s">
        <v>20</v>
      </c>
      <c r="I515" s="7">
        <v>19077.419999999998</v>
      </c>
      <c r="J515" s="7">
        <v>17953.97</v>
      </c>
    </row>
    <row r="516" spans="1:10" x14ac:dyDescent="0.3">
      <c r="A516" s="3">
        <v>45749</v>
      </c>
      <c r="B516" s="5">
        <v>4</v>
      </c>
      <c r="C516" s="5">
        <v>2025</v>
      </c>
      <c r="D516" s="5">
        <v>2</v>
      </c>
      <c r="E516" t="s">
        <v>22</v>
      </c>
      <c r="F516" t="s">
        <v>10</v>
      </c>
      <c r="G516" t="s">
        <v>40</v>
      </c>
      <c r="H516" t="s">
        <v>45</v>
      </c>
      <c r="I516" s="7">
        <v>21907.39</v>
      </c>
      <c r="J516" s="7">
        <v>23459.65</v>
      </c>
    </row>
    <row r="517" spans="1:10" x14ac:dyDescent="0.3">
      <c r="A517" s="3">
        <v>45749</v>
      </c>
      <c r="B517" s="5">
        <v>4</v>
      </c>
      <c r="C517" s="5">
        <v>2025</v>
      </c>
      <c r="D517" s="5">
        <v>2</v>
      </c>
      <c r="E517" t="s">
        <v>34</v>
      </c>
      <c r="F517" t="s">
        <v>10</v>
      </c>
      <c r="G517" t="s">
        <v>40</v>
      </c>
      <c r="H517" t="s">
        <v>53</v>
      </c>
      <c r="I517" s="7">
        <v>14445.61</v>
      </c>
      <c r="J517" s="7">
        <v>15407.69</v>
      </c>
    </row>
    <row r="518" spans="1:10" x14ac:dyDescent="0.3">
      <c r="A518" s="3">
        <v>45750</v>
      </c>
      <c r="B518" s="5">
        <v>4</v>
      </c>
      <c r="C518" s="5">
        <v>2025</v>
      </c>
      <c r="D518" s="5">
        <v>2</v>
      </c>
      <c r="E518" t="s">
        <v>22</v>
      </c>
      <c r="F518" t="s">
        <v>10</v>
      </c>
      <c r="G518" t="s">
        <v>15</v>
      </c>
      <c r="H518" t="s">
        <v>23</v>
      </c>
      <c r="I518" s="7">
        <v>31393.33</v>
      </c>
      <c r="J518" s="7">
        <v>29742.3</v>
      </c>
    </row>
    <row r="519" spans="1:10" x14ac:dyDescent="0.3">
      <c r="A519" s="3">
        <v>45751</v>
      </c>
      <c r="B519" s="5">
        <v>4</v>
      </c>
      <c r="C519" s="5">
        <v>2025</v>
      </c>
      <c r="D519" s="5">
        <v>2</v>
      </c>
      <c r="E519" t="s">
        <v>25</v>
      </c>
      <c r="F519" t="s">
        <v>17</v>
      </c>
      <c r="G519" t="s">
        <v>40</v>
      </c>
      <c r="H519" t="s">
        <v>48</v>
      </c>
      <c r="I519" s="7">
        <v>-5521.14</v>
      </c>
    </row>
    <row r="520" spans="1:10" x14ac:dyDescent="0.3">
      <c r="A520" s="3">
        <v>45751</v>
      </c>
      <c r="B520" s="5">
        <v>4</v>
      </c>
      <c r="C520" s="5">
        <v>2025</v>
      </c>
      <c r="D520" s="5">
        <v>2</v>
      </c>
      <c r="E520" t="s">
        <v>34</v>
      </c>
      <c r="F520" t="s">
        <v>17</v>
      </c>
      <c r="G520" t="s">
        <v>74</v>
      </c>
      <c r="H520" t="s">
        <v>88</v>
      </c>
      <c r="I520" s="7">
        <v>-6178.28</v>
      </c>
    </row>
    <row r="521" spans="1:10" x14ac:dyDescent="0.3">
      <c r="A521" s="3">
        <v>45752</v>
      </c>
      <c r="B521" s="5">
        <v>4</v>
      </c>
      <c r="C521" s="5">
        <v>2025</v>
      </c>
      <c r="D521" s="5">
        <v>2</v>
      </c>
      <c r="E521" t="s">
        <v>19</v>
      </c>
      <c r="F521" t="s">
        <v>17</v>
      </c>
      <c r="G521" t="s">
        <v>15</v>
      </c>
      <c r="H521" t="s">
        <v>21</v>
      </c>
      <c r="I521" s="7">
        <v>-29367.119999999999</v>
      </c>
    </row>
    <row r="522" spans="1:10" x14ac:dyDescent="0.3">
      <c r="A522" s="3">
        <v>45752</v>
      </c>
      <c r="B522" s="5">
        <v>4</v>
      </c>
      <c r="C522" s="5">
        <v>2025</v>
      </c>
      <c r="D522" s="5">
        <v>2</v>
      </c>
      <c r="E522" t="s">
        <v>31</v>
      </c>
      <c r="F522" t="s">
        <v>10</v>
      </c>
      <c r="G522" t="s">
        <v>15</v>
      </c>
      <c r="H522" t="s">
        <v>32</v>
      </c>
      <c r="I522" s="7">
        <v>4568.22</v>
      </c>
      <c r="J522" s="7">
        <v>4898.05</v>
      </c>
    </row>
    <row r="523" spans="1:10" x14ac:dyDescent="0.3">
      <c r="A523" s="3">
        <v>45752</v>
      </c>
      <c r="B523" s="5">
        <v>4</v>
      </c>
      <c r="C523" s="5">
        <v>2025</v>
      </c>
      <c r="D523" s="5">
        <v>2</v>
      </c>
      <c r="E523" t="s">
        <v>28</v>
      </c>
      <c r="F523" t="s">
        <v>17</v>
      </c>
      <c r="G523" t="s">
        <v>57</v>
      </c>
      <c r="H523" t="s">
        <v>67</v>
      </c>
      <c r="I523" s="7">
        <v>-11471.77</v>
      </c>
    </row>
    <row r="524" spans="1:10" x14ac:dyDescent="0.3">
      <c r="A524" s="3">
        <v>45752</v>
      </c>
      <c r="B524" s="5">
        <v>4</v>
      </c>
      <c r="C524" s="5">
        <v>2025</v>
      </c>
      <c r="D524" s="5">
        <v>2</v>
      </c>
      <c r="E524" t="s">
        <v>37</v>
      </c>
      <c r="F524" t="s">
        <v>17</v>
      </c>
      <c r="G524" t="s">
        <v>57</v>
      </c>
      <c r="H524" t="s">
        <v>73</v>
      </c>
      <c r="I524" s="7">
        <v>-3073.18</v>
      </c>
    </row>
    <row r="525" spans="1:10" x14ac:dyDescent="0.3">
      <c r="A525" s="3">
        <v>45753</v>
      </c>
      <c r="B525" s="5">
        <v>4</v>
      </c>
      <c r="C525" s="5">
        <v>2025</v>
      </c>
      <c r="D525" s="5">
        <v>2</v>
      </c>
      <c r="E525" t="s">
        <v>14</v>
      </c>
      <c r="F525" t="s">
        <v>17</v>
      </c>
      <c r="G525" t="s">
        <v>40</v>
      </c>
      <c r="H525" t="s">
        <v>42</v>
      </c>
      <c r="I525" s="7">
        <v>-18510.18</v>
      </c>
    </row>
    <row r="526" spans="1:10" x14ac:dyDescent="0.3">
      <c r="A526" s="3">
        <v>45753</v>
      </c>
      <c r="B526" s="5">
        <v>4</v>
      </c>
      <c r="C526" s="5">
        <v>2025</v>
      </c>
      <c r="D526" s="5">
        <v>2</v>
      </c>
      <c r="E526" t="s">
        <v>25</v>
      </c>
      <c r="F526" t="s">
        <v>10</v>
      </c>
      <c r="G526" t="s">
        <v>40</v>
      </c>
      <c r="H526" t="s">
        <v>47</v>
      </c>
      <c r="I526" s="7">
        <v>9069.11</v>
      </c>
      <c r="J526" s="7">
        <v>9694.15</v>
      </c>
    </row>
    <row r="527" spans="1:10" x14ac:dyDescent="0.3">
      <c r="A527" s="3">
        <v>45753</v>
      </c>
      <c r="B527" s="5">
        <v>4</v>
      </c>
      <c r="C527" s="5">
        <v>2025</v>
      </c>
      <c r="D527" s="5">
        <v>2</v>
      </c>
      <c r="E527" t="s">
        <v>37</v>
      </c>
      <c r="F527" t="s">
        <v>10</v>
      </c>
      <c r="G527" t="s">
        <v>40</v>
      </c>
      <c r="H527" t="s">
        <v>55</v>
      </c>
      <c r="I527" s="7">
        <v>5466.41</v>
      </c>
      <c r="J527" s="7">
        <v>5637.89</v>
      </c>
    </row>
    <row r="528" spans="1:10" x14ac:dyDescent="0.3">
      <c r="A528" s="3">
        <v>45754</v>
      </c>
      <c r="B528" s="5">
        <v>4</v>
      </c>
      <c r="C528" s="5">
        <v>2025</v>
      </c>
      <c r="D528" s="5">
        <v>2</v>
      </c>
      <c r="E528" t="s">
        <v>14</v>
      </c>
      <c r="F528" t="s">
        <v>17</v>
      </c>
      <c r="G528" t="s">
        <v>15</v>
      </c>
      <c r="H528" t="s">
        <v>18</v>
      </c>
      <c r="I528" s="7">
        <v>-16214.6</v>
      </c>
    </row>
    <row r="529" spans="1:10" x14ac:dyDescent="0.3">
      <c r="A529" s="3">
        <v>45754</v>
      </c>
      <c r="B529" s="5">
        <v>4</v>
      </c>
      <c r="C529" s="5">
        <v>2025</v>
      </c>
      <c r="D529" s="5">
        <v>2</v>
      </c>
      <c r="E529" t="s">
        <v>25</v>
      </c>
      <c r="F529" t="s">
        <v>17</v>
      </c>
      <c r="G529" t="s">
        <v>15</v>
      </c>
      <c r="H529" t="s">
        <v>27</v>
      </c>
      <c r="I529" s="7">
        <v>-4478.45</v>
      </c>
    </row>
    <row r="530" spans="1:10" x14ac:dyDescent="0.3">
      <c r="A530" s="3">
        <v>45754</v>
      </c>
      <c r="B530" s="5">
        <v>4</v>
      </c>
      <c r="C530" s="5">
        <v>2025</v>
      </c>
      <c r="D530" s="5">
        <v>2</v>
      </c>
      <c r="E530" t="s">
        <v>34</v>
      </c>
      <c r="F530" t="s">
        <v>17</v>
      </c>
      <c r="G530" t="s">
        <v>15</v>
      </c>
      <c r="H530" t="s">
        <v>36</v>
      </c>
      <c r="I530" s="7">
        <v>-16021.27</v>
      </c>
    </row>
    <row r="531" spans="1:10" x14ac:dyDescent="0.3">
      <c r="A531" s="3">
        <v>45754</v>
      </c>
      <c r="B531" s="5">
        <v>4</v>
      </c>
      <c r="C531" s="5">
        <v>2025</v>
      </c>
      <c r="D531" s="5">
        <v>2</v>
      </c>
      <c r="E531" t="s">
        <v>14</v>
      </c>
      <c r="F531" t="s">
        <v>10</v>
      </c>
      <c r="G531" t="s">
        <v>74</v>
      </c>
      <c r="H531" t="s">
        <v>75</v>
      </c>
      <c r="I531" s="7">
        <v>21264.35</v>
      </c>
      <c r="J531" s="7">
        <v>21022.97</v>
      </c>
    </row>
    <row r="532" spans="1:10" x14ac:dyDescent="0.3">
      <c r="A532" s="3">
        <v>45754</v>
      </c>
      <c r="B532" s="5">
        <v>4</v>
      </c>
      <c r="C532" s="5">
        <v>2025</v>
      </c>
      <c r="D532" s="5">
        <v>2</v>
      </c>
      <c r="E532" t="s">
        <v>34</v>
      </c>
      <c r="F532" t="s">
        <v>10</v>
      </c>
      <c r="G532" t="s">
        <v>74</v>
      </c>
      <c r="H532" t="s">
        <v>87</v>
      </c>
      <c r="I532" s="7">
        <v>8834.2099999999991</v>
      </c>
      <c r="J532" s="7">
        <v>8888.43</v>
      </c>
    </row>
    <row r="533" spans="1:10" x14ac:dyDescent="0.3">
      <c r="A533" s="3">
        <v>45755</v>
      </c>
      <c r="B533" s="5">
        <v>4</v>
      </c>
      <c r="C533" s="5">
        <v>2025</v>
      </c>
      <c r="D533" s="5">
        <v>2</v>
      </c>
      <c r="E533" t="s">
        <v>28</v>
      </c>
      <c r="F533" t="s">
        <v>17</v>
      </c>
      <c r="G533" t="s">
        <v>15</v>
      </c>
      <c r="H533" t="s">
        <v>30</v>
      </c>
      <c r="I533" s="7">
        <v>-29329.759999999998</v>
      </c>
    </row>
    <row r="534" spans="1:10" x14ac:dyDescent="0.3">
      <c r="A534" s="3">
        <v>45755</v>
      </c>
      <c r="B534" s="5">
        <v>4</v>
      </c>
      <c r="C534" s="5">
        <v>2025</v>
      </c>
      <c r="D534" s="5">
        <v>2</v>
      </c>
      <c r="E534" t="s">
        <v>14</v>
      </c>
      <c r="F534" t="s">
        <v>10</v>
      </c>
      <c r="G534" t="s">
        <v>57</v>
      </c>
      <c r="H534" t="s">
        <v>58</v>
      </c>
      <c r="I534" s="7">
        <v>25282.11</v>
      </c>
      <c r="J534" s="7">
        <v>26096.14</v>
      </c>
    </row>
    <row r="535" spans="1:10" x14ac:dyDescent="0.3">
      <c r="A535" s="3">
        <v>45755</v>
      </c>
      <c r="B535" s="5">
        <v>4</v>
      </c>
      <c r="C535" s="5">
        <v>2025</v>
      </c>
      <c r="D535" s="5">
        <v>2</v>
      </c>
      <c r="E535" t="s">
        <v>34</v>
      </c>
      <c r="F535" t="s">
        <v>10</v>
      </c>
      <c r="G535" t="s">
        <v>57</v>
      </c>
      <c r="H535" t="s">
        <v>70</v>
      </c>
      <c r="I535" s="7">
        <v>10588.7</v>
      </c>
      <c r="J535" s="7">
        <v>10350.17</v>
      </c>
    </row>
    <row r="536" spans="1:10" x14ac:dyDescent="0.3">
      <c r="A536" s="3">
        <v>45756</v>
      </c>
      <c r="B536" s="5">
        <v>4</v>
      </c>
      <c r="C536" s="5">
        <v>2025</v>
      </c>
      <c r="D536" s="5">
        <v>2</v>
      </c>
      <c r="E536" t="s">
        <v>14</v>
      </c>
      <c r="F536" t="s">
        <v>17</v>
      </c>
      <c r="G536" t="s">
        <v>74</v>
      </c>
      <c r="H536" t="s">
        <v>76</v>
      </c>
      <c r="I536" s="7">
        <v>-7216.99</v>
      </c>
    </row>
    <row r="537" spans="1:10" x14ac:dyDescent="0.3">
      <c r="A537" s="3">
        <v>45757</v>
      </c>
      <c r="B537" s="5">
        <v>4</v>
      </c>
      <c r="C537" s="5">
        <v>2025</v>
      </c>
      <c r="D537" s="5">
        <v>2</v>
      </c>
      <c r="E537" t="s">
        <v>22</v>
      </c>
      <c r="F537" t="s">
        <v>17</v>
      </c>
      <c r="G537" t="s">
        <v>15</v>
      </c>
      <c r="H537" t="s">
        <v>24</v>
      </c>
      <c r="I537" s="7">
        <v>-38661.79</v>
      </c>
    </row>
    <row r="538" spans="1:10" x14ac:dyDescent="0.3">
      <c r="A538" s="3">
        <v>45757</v>
      </c>
      <c r="B538" s="5">
        <v>4</v>
      </c>
      <c r="C538" s="5">
        <v>2025</v>
      </c>
      <c r="D538" s="5">
        <v>2</v>
      </c>
      <c r="E538" t="s">
        <v>28</v>
      </c>
      <c r="F538" t="s">
        <v>17</v>
      </c>
      <c r="G538" t="s">
        <v>74</v>
      </c>
      <c r="H538" t="s">
        <v>84</v>
      </c>
      <c r="I538" s="7">
        <v>-15767.06</v>
      </c>
    </row>
    <row r="539" spans="1:10" x14ac:dyDescent="0.3">
      <c r="A539" s="3">
        <v>45758</v>
      </c>
      <c r="B539" s="5">
        <v>4</v>
      </c>
      <c r="C539" s="5">
        <v>2025</v>
      </c>
      <c r="D539" s="5">
        <v>2</v>
      </c>
      <c r="E539" t="s">
        <v>19</v>
      </c>
      <c r="F539" t="s">
        <v>17</v>
      </c>
      <c r="G539" t="s">
        <v>57</v>
      </c>
      <c r="H539" t="s">
        <v>61</v>
      </c>
      <c r="I539" s="7">
        <v>-12146.42</v>
      </c>
    </row>
    <row r="540" spans="1:10" x14ac:dyDescent="0.3">
      <c r="A540" s="3">
        <v>45759</v>
      </c>
      <c r="B540" s="5">
        <v>4</v>
      </c>
      <c r="C540" s="5">
        <v>2025</v>
      </c>
      <c r="D540" s="5">
        <v>2</v>
      </c>
      <c r="E540" t="s">
        <v>31</v>
      </c>
      <c r="F540" t="s">
        <v>17</v>
      </c>
      <c r="G540" t="s">
        <v>15</v>
      </c>
      <c r="H540" t="s">
        <v>33</v>
      </c>
      <c r="I540" s="7">
        <v>-1710.21</v>
      </c>
    </row>
    <row r="541" spans="1:10" x14ac:dyDescent="0.3">
      <c r="A541" s="3">
        <v>45759</v>
      </c>
      <c r="B541" s="5">
        <v>4</v>
      </c>
      <c r="C541" s="5">
        <v>2025</v>
      </c>
      <c r="D541" s="5">
        <v>2</v>
      </c>
      <c r="E541" t="s">
        <v>25</v>
      </c>
      <c r="F541" t="s">
        <v>10</v>
      </c>
      <c r="G541" t="s">
        <v>74</v>
      </c>
      <c r="H541" t="s">
        <v>81</v>
      </c>
      <c r="I541" s="7">
        <v>7837.71</v>
      </c>
      <c r="J541" s="7">
        <v>7805.33</v>
      </c>
    </row>
    <row r="542" spans="1:10" x14ac:dyDescent="0.3">
      <c r="A542" s="3">
        <v>45760</v>
      </c>
      <c r="B542" s="5">
        <v>4</v>
      </c>
      <c r="C542" s="5">
        <v>2025</v>
      </c>
      <c r="D542" s="5">
        <v>2</v>
      </c>
      <c r="E542" t="s">
        <v>31</v>
      </c>
      <c r="F542" t="s">
        <v>10</v>
      </c>
      <c r="G542" t="s">
        <v>40</v>
      </c>
      <c r="H542" t="s">
        <v>51</v>
      </c>
      <c r="I542" s="7">
        <v>3830.46</v>
      </c>
      <c r="J542" s="7">
        <v>3956.69</v>
      </c>
    </row>
    <row r="543" spans="1:10" x14ac:dyDescent="0.3">
      <c r="A543" s="3">
        <v>45760</v>
      </c>
      <c r="B543" s="5">
        <v>4</v>
      </c>
      <c r="C543" s="5">
        <v>2025</v>
      </c>
      <c r="D543" s="5">
        <v>2</v>
      </c>
      <c r="E543" t="s">
        <v>31</v>
      </c>
      <c r="F543" t="s">
        <v>17</v>
      </c>
      <c r="G543" t="s">
        <v>74</v>
      </c>
      <c r="H543" t="s">
        <v>86</v>
      </c>
      <c r="I543" s="7">
        <v>-3905.52</v>
      </c>
    </row>
    <row r="544" spans="1:10" x14ac:dyDescent="0.3">
      <c r="A544" s="3">
        <v>45760</v>
      </c>
      <c r="B544" s="5">
        <v>4</v>
      </c>
      <c r="C544" s="5">
        <v>2025</v>
      </c>
      <c r="D544" s="5">
        <v>2</v>
      </c>
      <c r="E544" t="s">
        <v>37</v>
      </c>
      <c r="F544" t="s">
        <v>17</v>
      </c>
      <c r="G544" t="s">
        <v>74</v>
      </c>
      <c r="H544" t="s">
        <v>90</v>
      </c>
      <c r="I544" s="7">
        <v>-2539.75</v>
      </c>
    </row>
    <row r="545" spans="1:10" x14ac:dyDescent="0.3">
      <c r="A545" s="3">
        <v>45761</v>
      </c>
      <c r="B545" s="5">
        <v>4</v>
      </c>
      <c r="C545" s="5">
        <v>2025</v>
      </c>
      <c r="D545" s="5">
        <v>2</v>
      </c>
      <c r="E545" t="s">
        <v>25</v>
      </c>
      <c r="F545" t="s">
        <v>17</v>
      </c>
      <c r="G545" t="s">
        <v>74</v>
      </c>
      <c r="H545" t="s">
        <v>82</v>
      </c>
      <c r="I545" s="7">
        <v>-3986.51</v>
      </c>
    </row>
    <row r="546" spans="1:10" x14ac:dyDescent="0.3">
      <c r="A546" s="3">
        <v>45762</v>
      </c>
      <c r="B546" s="5">
        <v>4</v>
      </c>
      <c r="C546" s="5">
        <v>2025</v>
      </c>
      <c r="D546" s="5">
        <v>2</v>
      </c>
      <c r="E546" t="s">
        <v>14</v>
      </c>
      <c r="F546" t="s">
        <v>10</v>
      </c>
      <c r="G546" t="s">
        <v>15</v>
      </c>
      <c r="H546" t="s">
        <v>16</v>
      </c>
      <c r="I546" s="7">
        <v>24069.71</v>
      </c>
      <c r="J546" s="7">
        <v>22798.49</v>
      </c>
    </row>
    <row r="547" spans="1:10" x14ac:dyDescent="0.3">
      <c r="A547" s="3">
        <v>45762</v>
      </c>
      <c r="B547" s="5">
        <v>4</v>
      </c>
      <c r="C547" s="5">
        <v>2025</v>
      </c>
      <c r="D547" s="5">
        <v>2</v>
      </c>
      <c r="E547" t="s">
        <v>25</v>
      </c>
      <c r="F547" t="s">
        <v>10</v>
      </c>
      <c r="G547" t="s">
        <v>15</v>
      </c>
      <c r="H547" t="s">
        <v>26</v>
      </c>
      <c r="I547" s="7">
        <v>9442.34</v>
      </c>
      <c r="J547" s="7">
        <v>9719.16</v>
      </c>
    </row>
    <row r="548" spans="1:10" x14ac:dyDescent="0.3">
      <c r="A548" s="3">
        <v>45763</v>
      </c>
      <c r="B548" s="5">
        <v>4</v>
      </c>
      <c r="C548" s="5">
        <v>2025</v>
      </c>
      <c r="D548" s="5">
        <v>2</v>
      </c>
      <c r="E548" t="s">
        <v>31</v>
      </c>
      <c r="F548" t="s">
        <v>10</v>
      </c>
      <c r="G548" t="s">
        <v>57</v>
      </c>
      <c r="H548" t="s">
        <v>68</v>
      </c>
      <c r="I548" s="7">
        <v>3919</v>
      </c>
      <c r="J548" s="7">
        <v>4131.13</v>
      </c>
    </row>
    <row r="549" spans="1:10" x14ac:dyDescent="0.3">
      <c r="A549" s="3">
        <v>45764</v>
      </c>
      <c r="B549" s="5">
        <v>4</v>
      </c>
      <c r="C549" s="5">
        <v>2025</v>
      </c>
      <c r="D549" s="5">
        <v>2</v>
      </c>
      <c r="E549" t="s">
        <v>34</v>
      </c>
      <c r="F549" t="s">
        <v>10</v>
      </c>
      <c r="G549" t="s">
        <v>15</v>
      </c>
      <c r="H549" t="s">
        <v>35</v>
      </c>
      <c r="I549" s="7">
        <v>10903.78</v>
      </c>
      <c r="J549" s="7">
        <v>11673.73</v>
      </c>
    </row>
    <row r="550" spans="1:10" x14ac:dyDescent="0.3">
      <c r="A550" s="3">
        <v>45765</v>
      </c>
      <c r="B550" s="5">
        <v>4</v>
      </c>
      <c r="C550" s="5">
        <v>2025</v>
      </c>
      <c r="D550" s="5">
        <v>2</v>
      </c>
      <c r="E550" t="s">
        <v>19</v>
      </c>
      <c r="F550" t="s">
        <v>10</v>
      </c>
      <c r="G550" t="s">
        <v>40</v>
      </c>
      <c r="H550" t="s">
        <v>43</v>
      </c>
      <c r="I550" s="7">
        <v>16924.919999999998</v>
      </c>
      <c r="J550" s="7">
        <v>16462.400000000001</v>
      </c>
    </row>
    <row r="551" spans="1:10" x14ac:dyDescent="0.3">
      <c r="A551" s="3">
        <v>45765</v>
      </c>
      <c r="B551" s="5">
        <v>4</v>
      </c>
      <c r="C551" s="5">
        <v>2025</v>
      </c>
      <c r="D551" s="5">
        <v>2</v>
      </c>
      <c r="E551" t="s">
        <v>22</v>
      </c>
      <c r="F551" t="s">
        <v>10</v>
      </c>
      <c r="G551" t="s">
        <v>74</v>
      </c>
      <c r="H551" t="s">
        <v>79</v>
      </c>
      <c r="I551" s="7">
        <v>18800.099999999999</v>
      </c>
      <c r="J551" s="7">
        <v>18052.72</v>
      </c>
    </row>
    <row r="552" spans="1:10" x14ac:dyDescent="0.3">
      <c r="A552" s="3">
        <v>45766</v>
      </c>
      <c r="B552" s="5">
        <v>4</v>
      </c>
      <c r="C552" s="5">
        <v>2025</v>
      </c>
      <c r="D552" s="5">
        <v>2</v>
      </c>
      <c r="E552" t="s">
        <v>34</v>
      </c>
      <c r="F552" t="s">
        <v>17</v>
      </c>
      <c r="G552" t="s">
        <v>57</v>
      </c>
      <c r="H552" t="s">
        <v>71</v>
      </c>
      <c r="I552" s="7">
        <v>-12093.75</v>
      </c>
    </row>
    <row r="553" spans="1:10" x14ac:dyDescent="0.3">
      <c r="A553" s="3">
        <v>45766</v>
      </c>
      <c r="B553" s="5">
        <v>4</v>
      </c>
      <c r="C553" s="5">
        <v>2025</v>
      </c>
      <c r="D553" s="5">
        <v>2</v>
      </c>
      <c r="E553" t="s">
        <v>19</v>
      </c>
      <c r="F553" t="s">
        <v>10</v>
      </c>
      <c r="G553" t="s">
        <v>74</v>
      </c>
      <c r="H553" t="s">
        <v>77</v>
      </c>
      <c r="I553" s="7">
        <v>22693.33</v>
      </c>
      <c r="J553" s="7">
        <v>24831.52</v>
      </c>
    </row>
    <row r="554" spans="1:10" x14ac:dyDescent="0.3">
      <c r="A554" s="3">
        <v>45766</v>
      </c>
      <c r="B554" s="5">
        <v>4</v>
      </c>
      <c r="C554" s="5">
        <v>2025</v>
      </c>
      <c r="D554" s="5">
        <v>2</v>
      </c>
      <c r="E554" t="s">
        <v>31</v>
      </c>
      <c r="F554" t="s">
        <v>10</v>
      </c>
      <c r="G554" t="s">
        <v>74</v>
      </c>
      <c r="H554" t="s">
        <v>85</v>
      </c>
      <c r="I554" s="7">
        <v>5074.57</v>
      </c>
      <c r="J554" s="7">
        <v>4770.78</v>
      </c>
    </row>
    <row r="555" spans="1:10" x14ac:dyDescent="0.3">
      <c r="A555" s="3">
        <v>45767</v>
      </c>
      <c r="B555" s="5">
        <v>4</v>
      </c>
      <c r="C555" s="5">
        <v>2025</v>
      </c>
      <c r="D555" s="5">
        <v>2</v>
      </c>
      <c r="E555" t="s">
        <v>19</v>
      </c>
      <c r="F555" t="s">
        <v>10</v>
      </c>
      <c r="G555" t="s">
        <v>57</v>
      </c>
      <c r="H555" t="s">
        <v>60</v>
      </c>
      <c r="I555" s="7">
        <v>24316.55</v>
      </c>
      <c r="J555" s="7">
        <v>23478.77</v>
      </c>
    </row>
    <row r="556" spans="1:10" x14ac:dyDescent="0.3">
      <c r="A556" s="3">
        <v>45767</v>
      </c>
      <c r="B556" s="5">
        <v>4</v>
      </c>
      <c r="C556" s="5">
        <v>2025</v>
      </c>
      <c r="D556" s="5">
        <v>2</v>
      </c>
      <c r="E556" t="s">
        <v>22</v>
      </c>
      <c r="F556" t="s">
        <v>10</v>
      </c>
      <c r="G556" t="s">
        <v>57</v>
      </c>
      <c r="H556" t="s">
        <v>62</v>
      </c>
      <c r="I556" s="7">
        <v>28046.28</v>
      </c>
      <c r="J556" s="7">
        <v>30590.39</v>
      </c>
    </row>
    <row r="557" spans="1:10" x14ac:dyDescent="0.3">
      <c r="A557" s="3">
        <v>45767</v>
      </c>
      <c r="B557" s="5">
        <v>4</v>
      </c>
      <c r="C557" s="5">
        <v>2025</v>
      </c>
      <c r="D557" s="5">
        <v>2</v>
      </c>
      <c r="E557" t="s">
        <v>25</v>
      </c>
      <c r="F557" t="s">
        <v>10</v>
      </c>
      <c r="G557" t="s">
        <v>57</v>
      </c>
      <c r="H557" t="s">
        <v>64</v>
      </c>
      <c r="I557" s="7">
        <v>6437.72</v>
      </c>
      <c r="J557" s="7">
        <v>6812.09</v>
      </c>
    </row>
    <row r="558" spans="1:10" x14ac:dyDescent="0.3">
      <c r="A558" s="3">
        <v>45768</v>
      </c>
      <c r="B558" s="5">
        <v>4</v>
      </c>
      <c r="C558" s="5">
        <v>2025</v>
      </c>
      <c r="D558" s="5">
        <v>2</v>
      </c>
      <c r="E558" t="s">
        <v>25</v>
      </c>
      <c r="F558" t="s">
        <v>17</v>
      </c>
      <c r="G558" t="s">
        <v>57</v>
      </c>
      <c r="H558" t="s">
        <v>65</v>
      </c>
      <c r="I558" s="7">
        <v>-8213.27</v>
      </c>
    </row>
    <row r="559" spans="1:10" x14ac:dyDescent="0.3">
      <c r="A559" s="3">
        <v>45768</v>
      </c>
      <c r="B559" s="5">
        <v>4</v>
      </c>
      <c r="C559" s="5">
        <v>2025</v>
      </c>
      <c r="D559" s="5">
        <v>2</v>
      </c>
      <c r="E559" t="s">
        <v>22</v>
      </c>
      <c r="F559" t="s">
        <v>17</v>
      </c>
      <c r="G559" t="s">
        <v>74</v>
      </c>
      <c r="H559" t="s">
        <v>80</v>
      </c>
      <c r="I559" s="7">
        <v>-16611.18</v>
      </c>
    </row>
    <row r="560" spans="1:10" x14ac:dyDescent="0.3">
      <c r="A560" s="3">
        <v>45768</v>
      </c>
      <c r="B560" s="5">
        <v>4</v>
      </c>
      <c r="C560" s="5">
        <v>2025</v>
      </c>
      <c r="D560" s="5">
        <v>2</v>
      </c>
      <c r="E560" t="s">
        <v>28</v>
      </c>
      <c r="F560" t="s">
        <v>10</v>
      </c>
      <c r="G560" t="s">
        <v>74</v>
      </c>
      <c r="H560" t="s">
        <v>83</v>
      </c>
      <c r="I560" s="7">
        <v>11370.14</v>
      </c>
      <c r="J560" s="7">
        <v>10969.52</v>
      </c>
    </row>
    <row r="561" spans="1:10" x14ac:dyDescent="0.3">
      <c r="A561" s="3">
        <v>45769</v>
      </c>
      <c r="B561" s="5">
        <v>4</v>
      </c>
      <c r="C561" s="5">
        <v>2025</v>
      </c>
      <c r="D561" s="5">
        <v>2</v>
      </c>
      <c r="E561" t="s">
        <v>37</v>
      </c>
      <c r="F561" t="s">
        <v>17</v>
      </c>
      <c r="G561" t="s">
        <v>15</v>
      </c>
      <c r="H561" t="s">
        <v>39</v>
      </c>
      <c r="I561" s="7">
        <v>-3089.77</v>
      </c>
    </row>
    <row r="562" spans="1:10" x14ac:dyDescent="0.3">
      <c r="A562" s="3">
        <v>45769</v>
      </c>
      <c r="B562" s="5">
        <v>4</v>
      </c>
      <c r="C562" s="5">
        <v>2025</v>
      </c>
      <c r="D562" s="5">
        <v>2</v>
      </c>
      <c r="E562" t="s">
        <v>31</v>
      </c>
      <c r="F562" t="s">
        <v>17</v>
      </c>
      <c r="G562" t="s">
        <v>57</v>
      </c>
      <c r="H562" t="s">
        <v>69</v>
      </c>
      <c r="I562" s="7">
        <v>-2526.4299999999998</v>
      </c>
    </row>
    <row r="563" spans="1:10" x14ac:dyDescent="0.3">
      <c r="A563" s="3">
        <v>45770</v>
      </c>
      <c r="B563" s="5">
        <v>4</v>
      </c>
      <c r="C563" s="5">
        <v>2025</v>
      </c>
      <c r="D563" s="5">
        <v>2</v>
      </c>
      <c r="E563" t="s">
        <v>28</v>
      </c>
      <c r="F563" t="s">
        <v>10</v>
      </c>
      <c r="G563" t="s">
        <v>57</v>
      </c>
      <c r="H563" t="s">
        <v>66</v>
      </c>
      <c r="I563" s="7">
        <v>15421.29</v>
      </c>
      <c r="J563" s="7">
        <v>15598.99</v>
      </c>
    </row>
    <row r="564" spans="1:10" x14ac:dyDescent="0.3">
      <c r="A564" s="3">
        <v>45770</v>
      </c>
      <c r="B564" s="5">
        <v>4</v>
      </c>
      <c r="C564" s="5">
        <v>2025</v>
      </c>
      <c r="D564" s="5">
        <v>2</v>
      </c>
      <c r="E564" t="s">
        <v>37</v>
      </c>
      <c r="F564" t="s">
        <v>10</v>
      </c>
      <c r="G564" t="s">
        <v>74</v>
      </c>
      <c r="H564" t="s">
        <v>89</v>
      </c>
      <c r="I564" s="7">
        <v>6468.28</v>
      </c>
      <c r="J564" s="7">
        <v>6781.64</v>
      </c>
    </row>
    <row r="565" spans="1:10" x14ac:dyDescent="0.3">
      <c r="A565" s="3">
        <v>45772</v>
      </c>
      <c r="B565" s="5">
        <v>4</v>
      </c>
      <c r="C565" s="5">
        <v>2025</v>
      </c>
      <c r="D565" s="5">
        <v>2</v>
      </c>
      <c r="E565" t="s">
        <v>37</v>
      </c>
      <c r="F565" t="s">
        <v>10</v>
      </c>
      <c r="G565" t="s">
        <v>15</v>
      </c>
      <c r="H565" t="s">
        <v>38</v>
      </c>
      <c r="I565" s="7">
        <v>7210.29</v>
      </c>
      <c r="J565" s="7">
        <v>6712.89</v>
      </c>
    </row>
    <row r="566" spans="1:10" x14ac:dyDescent="0.3">
      <c r="A566" s="3">
        <v>45772</v>
      </c>
      <c r="B566" s="5">
        <v>4</v>
      </c>
      <c r="C566" s="5">
        <v>2025</v>
      </c>
      <c r="D566" s="5">
        <v>2</v>
      </c>
      <c r="E566" t="s">
        <v>14</v>
      </c>
      <c r="F566" t="s">
        <v>10</v>
      </c>
      <c r="G566" t="s">
        <v>40</v>
      </c>
      <c r="H566" t="s">
        <v>41</v>
      </c>
      <c r="I566" s="7">
        <v>25975.18</v>
      </c>
      <c r="J566" s="7">
        <v>26784.06</v>
      </c>
    </row>
    <row r="567" spans="1:10" x14ac:dyDescent="0.3">
      <c r="A567" s="3">
        <v>45772</v>
      </c>
      <c r="B567" s="5">
        <v>4</v>
      </c>
      <c r="C567" s="5">
        <v>2025</v>
      </c>
      <c r="D567" s="5">
        <v>2</v>
      </c>
      <c r="E567" t="s">
        <v>19</v>
      </c>
      <c r="F567" t="s">
        <v>17</v>
      </c>
      <c r="G567" t="s">
        <v>40</v>
      </c>
      <c r="H567" t="s">
        <v>44</v>
      </c>
      <c r="I567" s="7">
        <v>-18873.53</v>
      </c>
    </row>
    <row r="568" spans="1:10" x14ac:dyDescent="0.3">
      <c r="A568" s="3">
        <v>45772</v>
      </c>
      <c r="B568" s="5">
        <v>4</v>
      </c>
      <c r="C568" s="5">
        <v>2025</v>
      </c>
      <c r="D568" s="5">
        <v>2</v>
      </c>
      <c r="E568" t="s">
        <v>34</v>
      </c>
      <c r="F568" t="s">
        <v>17</v>
      </c>
      <c r="G568" t="s">
        <v>40</v>
      </c>
      <c r="H568" t="s">
        <v>54</v>
      </c>
      <c r="I568" s="7">
        <v>-5367.76</v>
      </c>
    </row>
    <row r="569" spans="1:10" x14ac:dyDescent="0.3">
      <c r="A569" s="3">
        <v>45772</v>
      </c>
      <c r="B569" s="5">
        <v>4</v>
      </c>
      <c r="C569" s="5">
        <v>2025</v>
      </c>
      <c r="D569" s="5">
        <v>2</v>
      </c>
      <c r="E569" t="s">
        <v>37</v>
      </c>
      <c r="F569" t="s">
        <v>17</v>
      </c>
      <c r="G569" t="s">
        <v>40</v>
      </c>
      <c r="H569" t="s">
        <v>56</v>
      </c>
      <c r="I569" s="7">
        <v>-6412.14</v>
      </c>
    </row>
    <row r="570" spans="1:10" x14ac:dyDescent="0.3">
      <c r="A570" s="3">
        <v>45772</v>
      </c>
      <c r="B570" s="5">
        <v>4</v>
      </c>
      <c r="C570" s="5">
        <v>2025</v>
      </c>
      <c r="D570" s="5">
        <v>2</v>
      </c>
      <c r="E570" t="s">
        <v>19</v>
      </c>
      <c r="F570" t="s">
        <v>17</v>
      </c>
      <c r="G570" t="s">
        <v>74</v>
      </c>
      <c r="H570" t="s">
        <v>78</v>
      </c>
      <c r="I570" s="7">
        <v>-8784.66</v>
      </c>
    </row>
    <row r="571" spans="1:10" x14ac:dyDescent="0.3">
      <c r="A571" s="3">
        <v>45773</v>
      </c>
      <c r="B571" s="5">
        <v>4</v>
      </c>
      <c r="C571" s="5">
        <v>2025</v>
      </c>
      <c r="D571" s="5">
        <v>2</v>
      </c>
      <c r="E571" t="s">
        <v>22</v>
      </c>
      <c r="F571" t="s">
        <v>17</v>
      </c>
      <c r="G571" t="s">
        <v>40</v>
      </c>
      <c r="H571" t="s">
        <v>46</v>
      </c>
      <c r="I571" s="7">
        <v>-16194.29</v>
      </c>
    </row>
    <row r="572" spans="1:10" x14ac:dyDescent="0.3">
      <c r="A572" s="3">
        <v>45774</v>
      </c>
      <c r="B572" s="5">
        <v>4</v>
      </c>
      <c r="C572" s="5">
        <v>2025</v>
      </c>
      <c r="D572" s="5">
        <v>2</v>
      </c>
      <c r="E572" t="s">
        <v>28</v>
      </c>
      <c r="F572" t="s">
        <v>10</v>
      </c>
      <c r="G572" t="s">
        <v>15</v>
      </c>
      <c r="H572" t="s">
        <v>29</v>
      </c>
      <c r="I572" s="7">
        <v>17650.669999999998</v>
      </c>
      <c r="J572" s="7">
        <v>18750.09</v>
      </c>
    </row>
    <row r="573" spans="1:10" x14ac:dyDescent="0.3">
      <c r="A573" s="3">
        <v>45775</v>
      </c>
      <c r="B573" s="5">
        <v>4</v>
      </c>
      <c r="C573" s="5">
        <v>2025</v>
      </c>
      <c r="D573" s="5">
        <v>2</v>
      </c>
      <c r="E573" t="s">
        <v>28</v>
      </c>
      <c r="F573" t="s">
        <v>10</v>
      </c>
      <c r="G573" t="s">
        <v>40</v>
      </c>
      <c r="H573" t="s">
        <v>49</v>
      </c>
      <c r="I573" s="7">
        <v>18401.84</v>
      </c>
      <c r="J573" s="7">
        <v>19663.169999999998</v>
      </c>
    </row>
    <row r="574" spans="1:10" x14ac:dyDescent="0.3">
      <c r="A574" s="3">
        <v>45775</v>
      </c>
      <c r="B574" s="5">
        <v>4</v>
      </c>
      <c r="C574" s="5">
        <v>2025</v>
      </c>
      <c r="D574" s="5">
        <v>2</v>
      </c>
      <c r="E574" t="s">
        <v>31</v>
      </c>
      <c r="F574" t="s">
        <v>17</v>
      </c>
      <c r="G574" t="s">
        <v>40</v>
      </c>
      <c r="H574" t="s">
        <v>52</v>
      </c>
      <c r="I574" s="7">
        <v>-4020.1800000000003</v>
      </c>
    </row>
    <row r="575" spans="1:10" x14ac:dyDescent="0.3">
      <c r="A575" s="3">
        <v>45775</v>
      </c>
      <c r="B575" s="5">
        <v>4</v>
      </c>
      <c r="C575" s="5">
        <v>2025</v>
      </c>
      <c r="D575" s="5">
        <v>2</v>
      </c>
      <c r="E575" t="s">
        <v>14</v>
      </c>
      <c r="F575" t="s">
        <v>17</v>
      </c>
      <c r="G575" t="s">
        <v>57</v>
      </c>
      <c r="H575" t="s">
        <v>59</v>
      </c>
      <c r="I575" s="7">
        <v>-30951.49</v>
      </c>
    </row>
    <row r="576" spans="1:10" x14ac:dyDescent="0.3">
      <c r="A576" s="3">
        <v>45775</v>
      </c>
      <c r="B576" s="5">
        <v>4</v>
      </c>
      <c r="C576" s="5">
        <v>2025</v>
      </c>
      <c r="D576" s="5">
        <v>2</v>
      </c>
      <c r="E576" t="s">
        <v>22</v>
      </c>
      <c r="F576" t="s">
        <v>17</v>
      </c>
      <c r="G576" t="s">
        <v>57</v>
      </c>
      <c r="H576" t="s">
        <v>63</v>
      </c>
      <c r="I576" s="7">
        <v>-25156.5</v>
      </c>
    </row>
    <row r="577" spans="1:10" x14ac:dyDescent="0.3">
      <c r="A577" s="3">
        <v>45777</v>
      </c>
      <c r="B577" s="5">
        <v>4</v>
      </c>
      <c r="C577" s="5">
        <v>2025</v>
      </c>
      <c r="D577" s="5">
        <v>2</v>
      </c>
      <c r="E577" t="s">
        <v>37</v>
      </c>
      <c r="F577" t="s">
        <v>10</v>
      </c>
      <c r="G577" t="s">
        <v>57</v>
      </c>
      <c r="H577" t="s">
        <v>72</v>
      </c>
      <c r="I577" s="7">
        <v>6359.01</v>
      </c>
      <c r="J577" s="7">
        <v>6574.67</v>
      </c>
    </row>
    <row r="578" spans="1:10" x14ac:dyDescent="0.3">
      <c r="A578" s="3">
        <v>45778</v>
      </c>
      <c r="B578" s="5">
        <v>5</v>
      </c>
      <c r="C578" s="5">
        <v>2025</v>
      </c>
      <c r="D578" s="5">
        <v>2</v>
      </c>
      <c r="E578" t="s">
        <v>37</v>
      </c>
      <c r="F578" t="s">
        <v>10</v>
      </c>
      <c r="G578" t="s">
        <v>40</v>
      </c>
      <c r="H578" t="s">
        <v>55</v>
      </c>
      <c r="I578" s="7">
        <v>6872.42</v>
      </c>
      <c r="J578" s="7">
        <v>7548.39</v>
      </c>
    </row>
    <row r="579" spans="1:10" x14ac:dyDescent="0.3">
      <c r="A579" s="3">
        <v>45778</v>
      </c>
      <c r="B579" s="5">
        <v>5</v>
      </c>
      <c r="C579" s="5">
        <v>2025</v>
      </c>
      <c r="D579" s="5">
        <v>2</v>
      </c>
      <c r="E579" t="s">
        <v>19</v>
      </c>
      <c r="F579" t="s">
        <v>17</v>
      </c>
      <c r="G579" t="s">
        <v>57</v>
      </c>
      <c r="H579" t="s">
        <v>61</v>
      </c>
      <c r="I579" s="7">
        <v>-20851.16</v>
      </c>
    </row>
    <row r="580" spans="1:10" x14ac:dyDescent="0.3">
      <c r="A580" s="3">
        <v>45779</v>
      </c>
      <c r="B580" s="5">
        <v>5</v>
      </c>
      <c r="C580" s="5">
        <v>2025</v>
      </c>
      <c r="D580" s="5">
        <v>2</v>
      </c>
      <c r="E580" t="s">
        <v>25</v>
      </c>
      <c r="F580" t="s">
        <v>10</v>
      </c>
      <c r="G580" t="s">
        <v>15</v>
      </c>
      <c r="H580" t="s">
        <v>26</v>
      </c>
      <c r="I580" s="7">
        <v>9636.5</v>
      </c>
      <c r="J580" s="7">
        <v>9146</v>
      </c>
    </row>
    <row r="581" spans="1:10" x14ac:dyDescent="0.3">
      <c r="A581" s="3">
        <v>45780</v>
      </c>
      <c r="B581" s="5">
        <v>5</v>
      </c>
      <c r="C581" s="5">
        <v>2025</v>
      </c>
      <c r="D581" s="5">
        <v>2</v>
      </c>
      <c r="E581" t="s">
        <v>22</v>
      </c>
      <c r="F581" t="s">
        <v>10</v>
      </c>
      <c r="G581" t="s">
        <v>74</v>
      </c>
      <c r="H581" t="s">
        <v>79</v>
      </c>
      <c r="I581" s="7">
        <v>27235.57</v>
      </c>
      <c r="J581" s="7">
        <v>27695.14</v>
      </c>
    </row>
    <row r="582" spans="1:10" x14ac:dyDescent="0.3">
      <c r="A582" s="3">
        <v>45781</v>
      </c>
      <c r="B582" s="5">
        <v>5</v>
      </c>
      <c r="C582" s="5">
        <v>2025</v>
      </c>
      <c r="D582" s="5">
        <v>2</v>
      </c>
      <c r="E582" t="s">
        <v>25</v>
      </c>
      <c r="F582" t="s">
        <v>10</v>
      </c>
      <c r="G582" t="s">
        <v>74</v>
      </c>
      <c r="H582" t="s">
        <v>81</v>
      </c>
      <c r="I582" s="7">
        <v>9954.07</v>
      </c>
      <c r="J582" s="7">
        <v>9522.11</v>
      </c>
    </row>
    <row r="583" spans="1:10" x14ac:dyDescent="0.3">
      <c r="A583" s="3">
        <v>45781</v>
      </c>
      <c r="B583" s="5">
        <v>5</v>
      </c>
      <c r="C583" s="5">
        <v>2025</v>
      </c>
      <c r="D583" s="5">
        <v>2</v>
      </c>
      <c r="E583" t="s">
        <v>25</v>
      </c>
      <c r="F583" t="s">
        <v>17</v>
      </c>
      <c r="G583" t="s">
        <v>74</v>
      </c>
      <c r="H583" t="s">
        <v>82</v>
      </c>
      <c r="I583" s="7">
        <v>-11118.550000000001</v>
      </c>
    </row>
    <row r="584" spans="1:10" x14ac:dyDescent="0.3">
      <c r="A584" s="3">
        <v>45782</v>
      </c>
      <c r="B584" s="5">
        <v>5</v>
      </c>
      <c r="C584" s="5">
        <v>2025</v>
      </c>
      <c r="D584" s="5">
        <v>2</v>
      </c>
      <c r="E584" t="s">
        <v>28</v>
      </c>
      <c r="F584" t="s">
        <v>10</v>
      </c>
      <c r="G584" t="s">
        <v>74</v>
      </c>
      <c r="H584" t="s">
        <v>83</v>
      </c>
      <c r="I584" s="7">
        <v>15720.88</v>
      </c>
      <c r="J584" s="7">
        <v>15709.26</v>
      </c>
    </row>
    <row r="585" spans="1:10" x14ac:dyDescent="0.3">
      <c r="A585" s="3">
        <v>45783</v>
      </c>
      <c r="B585" s="5">
        <v>5</v>
      </c>
      <c r="C585" s="5">
        <v>2025</v>
      </c>
      <c r="D585" s="5">
        <v>2</v>
      </c>
      <c r="E585" t="s">
        <v>37</v>
      </c>
      <c r="F585" t="s">
        <v>17</v>
      </c>
      <c r="G585" t="s">
        <v>40</v>
      </c>
      <c r="H585" t="s">
        <v>56</v>
      </c>
      <c r="I585" s="7">
        <v>-4206.5200000000004</v>
      </c>
    </row>
    <row r="586" spans="1:10" x14ac:dyDescent="0.3">
      <c r="A586" s="3">
        <v>45783</v>
      </c>
      <c r="B586" s="5">
        <v>5</v>
      </c>
      <c r="C586" s="5">
        <v>2025</v>
      </c>
      <c r="D586" s="5">
        <v>2</v>
      </c>
      <c r="E586" t="s">
        <v>31</v>
      </c>
      <c r="F586" t="s">
        <v>17</v>
      </c>
      <c r="G586" t="s">
        <v>57</v>
      </c>
      <c r="H586" t="s">
        <v>69</v>
      </c>
      <c r="I586" s="7">
        <v>-7750.11</v>
      </c>
    </row>
    <row r="587" spans="1:10" x14ac:dyDescent="0.3">
      <c r="A587" s="3">
        <v>45783</v>
      </c>
      <c r="B587" s="5">
        <v>5</v>
      </c>
      <c r="C587" s="5">
        <v>2025</v>
      </c>
      <c r="D587" s="5">
        <v>2</v>
      </c>
      <c r="E587" t="s">
        <v>37</v>
      </c>
      <c r="F587" t="s">
        <v>10</v>
      </c>
      <c r="G587" t="s">
        <v>57</v>
      </c>
      <c r="H587" t="s">
        <v>72</v>
      </c>
      <c r="I587" s="7">
        <v>7617.46</v>
      </c>
      <c r="J587" s="7">
        <v>7654.28</v>
      </c>
    </row>
    <row r="588" spans="1:10" x14ac:dyDescent="0.3">
      <c r="A588" s="3">
        <v>45784</v>
      </c>
      <c r="B588" s="5">
        <v>5</v>
      </c>
      <c r="C588" s="5">
        <v>2025</v>
      </c>
      <c r="D588" s="5">
        <v>2</v>
      </c>
      <c r="E588" t="s">
        <v>19</v>
      </c>
      <c r="F588" t="s">
        <v>17</v>
      </c>
      <c r="G588" t="s">
        <v>40</v>
      </c>
      <c r="H588" t="s">
        <v>44</v>
      </c>
      <c r="I588" s="7">
        <v>-12430.07</v>
      </c>
    </row>
    <row r="589" spans="1:10" x14ac:dyDescent="0.3">
      <c r="A589" s="3">
        <v>45784</v>
      </c>
      <c r="B589" s="5">
        <v>5</v>
      </c>
      <c r="C589" s="5">
        <v>2025</v>
      </c>
      <c r="D589" s="5">
        <v>2</v>
      </c>
      <c r="E589" t="s">
        <v>25</v>
      </c>
      <c r="F589" t="s">
        <v>17</v>
      </c>
      <c r="G589" t="s">
        <v>40</v>
      </c>
      <c r="H589" t="s">
        <v>48</v>
      </c>
      <c r="I589" s="7">
        <v>-16425.830000000002</v>
      </c>
    </row>
    <row r="590" spans="1:10" x14ac:dyDescent="0.3">
      <c r="A590" s="3">
        <v>45784</v>
      </c>
      <c r="B590" s="5">
        <v>5</v>
      </c>
      <c r="C590" s="5">
        <v>2025</v>
      </c>
      <c r="D590" s="5">
        <v>2</v>
      </c>
      <c r="E590" t="s">
        <v>37</v>
      </c>
      <c r="F590" t="s">
        <v>17</v>
      </c>
      <c r="G590" t="s">
        <v>74</v>
      </c>
      <c r="H590" t="s">
        <v>90</v>
      </c>
      <c r="I590" s="7">
        <v>-9293.93</v>
      </c>
    </row>
    <row r="591" spans="1:10" x14ac:dyDescent="0.3">
      <c r="A591" s="3">
        <v>45785</v>
      </c>
      <c r="B591" s="5">
        <v>5</v>
      </c>
      <c r="C591" s="5">
        <v>2025</v>
      </c>
      <c r="D591" s="5">
        <v>2</v>
      </c>
      <c r="E591" t="s">
        <v>25</v>
      </c>
      <c r="F591" t="s">
        <v>17</v>
      </c>
      <c r="G591" t="s">
        <v>15</v>
      </c>
      <c r="H591" t="s">
        <v>27</v>
      </c>
      <c r="I591" s="7">
        <v>-7191.33</v>
      </c>
    </row>
    <row r="592" spans="1:10" x14ac:dyDescent="0.3">
      <c r="A592" s="3">
        <v>45785</v>
      </c>
      <c r="B592" s="5">
        <v>5</v>
      </c>
      <c r="C592" s="5">
        <v>2025</v>
      </c>
      <c r="D592" s="5">
        <v>2</v>
      </c>
      <c r="E592" t="s">
        <v>22</v>
      </c>
      <c r="F592" t="s">
        <v>17</v>
      </c>
      <c r="G592" t="s">
        <v>40</v>
      </c>
      <c r="H592" t="s">
        <v>46</v>
      </c>
      <c r="I592" s="7">
        <v>-11090.37</v>
      </c>
    </row>
    <row r="593" spans="1:10" x14ac:dyDescent="0.3">
      <c r="A593" s="3">
        <v>45785</v>
      </c>
      <c r="B593" s="5">
        <v>5</v>
      </c>
      <c r="C593" s="5">
        <v>2025</v>
      </c>
      <c r="D593" s="5">
        <v>2</v>
      </c>
      <c r="E593" t="s">
        <v>25</v>
      </c>
      <c r="F593" t="s">
        <v>17</v>
      </c>
      <c r="G593" t="s">
        <v>57</v>
      </c>
      <c r="H593" t="s">
        <v>65</v>
      </c>
      <c r="I593" s="7">
        <v>-6854.58</v>
      </c>
    </row>
    <row r="594" spans="1:10" x14ac:dyDescent="0.3">
      <c r="A594" s="3">
        <v>45785</v>
      </c>
      <c r="B594" s="5">
        <v>5</v>
      </c>
      <c r="C594" s="5">
        <v>2025</v>
      </c>
      <c r="D594" s="5">
        <v>2</v>
      </c>
      <c r="E594" t="s">
        <v>31</v>
      </c>
      <c r="F594" t="s">
        <v>10</v>
      </c>
      <c r="G594" t="s">
        <v>57</v>
      </c>
      <c r="H594" t="s">
        <v>68</v>
      </c>
      <c r="I594" s="7">
        <v>5861.73</v>
      </c>
      <c r="J594" s="7">
        <v>5924.81</v>
      </c>
    </row>
    <row r="595" spans="1:10" x14ac:dyDescent="0.3">
      <c r="A595" s="3">
        <v>45785</v>
      </c>
      <c r="B595" s="5">
        <v>5</v>
      </c>
      <c r="C595" s="5">
        <v>2025</v>
      </c>
      <c r="D595" s="5">
        <v>2</v>
      </c>
      <c r="E595" t="s">
        <v>31</v>
      </c>
      <c r="F595" t="s">
        <v>17</v>
      </c>
      <c r="G595" t="s">
        <v>74</v>
      </c>
      <c r="H595" t="s">
        <v>86</v>
      </c>
      <c r="I595" s="7">
        <v>-5298.46</v>
      </c>
    </row>
    <row r="596" spans="1:10" x14ac:dyDescent="0.3">
      <c r="A596" s="3">
        <v>45785</v>
      </c>
      <c r="B596" s="5">
        <v>5</v>
      </c>
      <c r="C596" s="5">
        <v>2025</v>
      </c>
      <c r="D596" s="5">
        <v>2</v>
      </c>
      <c r="E596" t="s">
        <v>37</v>
      </c>
      <c r="F596" t="s">
        <v>10</v>
      </c>
      <c r="G596" t="s">
        <v>74</v>
      </c>
      <c r="H596" t="s">
        <v>89</v>
      </c>
      <c r="I596" s="7">
        <v>7661.05</v>
      </c>
      <c r="J596" s="7">
        <v>7314.51</v>
      </c>
    </row>
    <row r="597" spans="1:10" x14ac:dyDescent="0.3">
      <c r="A597" s="3">
        <v>45786</v>
      </c>
      <c r="B597" s="5">
        <v>5</v>
      </c>
      <c r="C597" s="5">
        <v>2025</v>
      </c>
      <c r="D597" s="5">
        <v>2</v>
      </c>
      <c r="E597" t="s">
        <v>28</v>
      </c>
      <c r="F597" t="s">
        <v>17</v>
      </c>
      <c r="G597" t="s">
        <v>15</v>
      </c>
      <c r="H597" t="s">
        <v>30</v>
      </c>
      <c r="I597" s="7">
        <v>-14476.33</v>
      </c>
    </row>
    <row r="598" spans="1:10" x14ac:dyDescent="0.3">
      <c r="A598" s="3">
        <v>45787</v>
      </c>
      <c r="B598" s="5">
        <v>5</v>
      </c>
      <c r="C598" s="5">
        <v>2025</v>
      </c>
      <c r="D598" s="5">
        <v>2</v>
      </c>
      <c r="E598" t="s">
        <v>14</v>
      </c>
      <c r="F598" t="s">
        <v>17</v>
      </c>
      <c r="G598" t="s">
        <v>15</v>
      </c>
      <c r="H598" t="s">
        <v>18</v>
      </c>
      <c r="I598" s="7">
        <v>-26923.26</v>
      </c>
    </row>
    <row r="599" spans="1:10" x14ac:dyDescent="0.3">
      <c r="A599" s="3">
        <v>45787</v>
      </c>
      <c r="B599" s="5">
        <v>5</v>
      </c>
      <c r="C599" s="5">
        <v>2025</v>
      </c>
      <c r="D599" s="5">
        <v>2</v>
      </c>
      <c r="E599" t="s">
        <v>37</v>
      </c>
      <c r="F599" t="s">
        <v>17</v>
      </c>
      <c r="G599" t="s">
        <v>15</v>
      </c>
      <c r="H599" t="s">
        <v>39</v>
      </c>
      <c r="I599" s="7">
        <v>-9554.0400000000009</v>
      </c>
    </row>
    <row r="600" spans="1:10" x14ac:dyDescent="0.3">
      <c r="A600" s="3">
        <v>45787</v>
      </c>
      <c r="B600" s="5">
        <v>5</v>
      </c>
      <c r="C600" s="5">
        <v>2025</v>
      </c>
      <c r="D600" s="5">
        <v>2</v>
      </c>
      <c r="E600" t="s">
        <v>25</v>
      </c>
      <c r="F600" t="s">
        <v>10</v>
      </c>
      <c r="G600" t="s">
        <v>57</v>
      </c>
      <c r="H600" t="s">
        <v>64</v>
      </c>
      <c r="I600" s="7">
        <v>9608.2900000000009</v>
      </c>
      <c r="J600" s="7">
        <v>9756.5499999999993</v>
      </c>
    </row>
    <row r="601" spans="1:10" x14ac:dyDescent="0.3">
      <c r="A601" s="3">
        <v>45788</v>
      </c>
      <c r="B601" s="5">
        <v>5</v>
      </c>
      <c r="C601" s="5">
        <v>2025</v>
      </c>
      <c r="D601" s="5">
        <v>2</v>
      </c>
      <c r="E601" t="s">
        <v>28</v>
      </c>
      <c r="F601" t="s">
        <v>17</v>
      </c>
      <c r="G601" t="s">
        <v>74</v>
      </c>
      <c r="H601" t="s">
        <v>84</v>
      </c>
      <c r="I601" s="7">
        <v>-20087.03</v>
      </c>
    </row>
    <row r="602" spans="1:10" x14ac:dyDescent="0.3">
      <c r="A602" s="3">
        <v>45789</v>
      </c>
      <c r="B602" s="5">
        <v>5</v>
      </c>
      <c r="C602" s="5">
        <v>2025</v>
      </c>
      <c r="D602" s="5">
        <v>2</v>
      </c>
      <c r="E602" t="s">
        <v>14</v>
      </c>
      <c r="F602" t="s">
        <v>10</v>
      </c>
      <c r="G602" t="s">
        <v>57</v>
      </c>
      <c r="H602" t="s">
        <v>58</v>
      </c>
      <c r="I602" s="7">
        <v>39742.94</v>
      </c>
      <c r="J602" s="7">
        <v>39027.81</v>
      </c>
    </row>
    <row r="603" spans="1:10" x14ac:dyDescent="0.3">
      <c r="A603" s="3">
        <v>45790</v>
      </c>
      <c r="B603" s="5">
        <v>5</v>
      </c>
      <c r="C603" s="5">
        <v>2025</v>
      </c>
      <c r="D603" s="5">
        <v>2</v>
      </c>
      <c r="E603" t="s">
        <v>19</v>
      </c>
      <c r="F603" t="s">
        <v>10</v>
      </c>
      <c r="G603" t="s">
        <v>40</v>
      </c>
      <c r="H603" t="s">
        <v>43</v>
      </c>
      <c r="I603" s="7">
        <v>22075.18</v>
      </c>
      <c r="J603" s="7">
        <v>21577.8</v>
      </c>
    </row>
    <row r="604" spans="1:10" x14ac:dyDescent="0.3">
      <c r="A604" s="3">
        <v>45791</v>
      </c>
      <c r="B604" s="5">
        <v>5</v>
      </c>
      <c r="C604" s="5">
        <v>2025</v>
      </c>
      <c r="D604" s="5">
        <v>2</v>
      </c>
      <c r="E604" t="s">
        <v>19</v>
      </c>
      <c r="F604" t="s">
        <v>17</v>
      </c>
      <c r="G604" t="s">
        <v>15</v>
      </c>
      <c r="H604" t="s">
        <v>21</v>
      </c>
      <c r="I604" s="7">
        <v>-18955.060000000001</v>
      </c>
    </row>
    <row r="605" spans="1:10" x14ac:dyDescent="0.3">
      <c r="A605" s="3">
        <v>45791</v>
      </c>
      <c r="B605" s="5">
        <v>5</v>
      </c>
      <c r="C605" s="5">
        <v>2025</v>
      </c>
      <c r="D605" s="5">
        <v>2</v>
      </c>
      <c r="E605" t="s">
        <v>31</v>
      </c>
      <c r="F605" t="s">
        <v>17</v>
      </c>
      <c r="G605" t="s">
        <v>15</v>
      </c>
      <c r="H605" t="s">
        <v>33</v>
      </c>
      <c r="I605" s="7">
        <v>-2945.53</v>
      </c>
    </row>
    <row r="606" spans="1:10" x14ac:dyDescent="0.3">
      <c r="A606" s="3">
        <v>45791</v>
      </c>
      <c r="B606" s="5">
        <v>5</v>
      </c>
      <c r="C606" s="5">
        <v>2025</v>
      </c>
      <c r="D606" s="5">
        <v>2</v>
      </c>
      <c r="E606" t="s">
        <v>34</v>
      </c>
      <c r="F606" t="s">
        <v>10</v>
      </c>
      <c r="G606" t="s">
        <v>40</v>
      </c>
      <c r="H606" t="s">
        <v>53</v>
      </c>
      <c r="I606" s="7">
        <v>11823.93</v>
      </c>
      <c r="J606" s="7">
        <v>11467.72</v>
      </c>
    </row>
    <row r="607" spans="1:10" x14ac:dyDescent="0.3">
      <c r="A607" s="3">
        <v>45791</v>
      </c>
      <c r="B607" s="5">
        <v>5</v>
      </c>
      <c r="C607" s="5">
        <v>2025</v>
      </c>
      <c r="D607" s="5">
        <v>2</v>
      </c>
      <c r="E607" t="s">
        <v>19</v>
      </c>
      <c r="F607" t="s">
        <v>10</v>
      </c>
      <c r="G607" t="s">
        <v>74</v>
      </c>
      <c r="H607" t="s">
        <v>77</v>
      </c>
      <c r="I607" s="7">
        <v>24071.42</v>
      </c>
      <c r="J607" s="7">
        <v>26401.93</v>
      </c>
    </row>
    <row r="608" spans="1:10" x14ac:dyDescent="0.3">
      <c r="A608" s="3">
        <v>45791</v>
      </c>
      <c r="B608" s="5">
        <v>5</v>
      </c>
      <c r="C608" s="5">
        <v>2025</v>
      </c>
      <c r="D608" s="5">
        <v>2</v>
      </c>
      <c r="E608" t="s">
        <v>19</v>
      </c>
      <c r="F608" t="s">
        <v>17</v>
      </c>
      <c r="G608" t="s">
        <v>74</v>
      </c>
      <c r="H608" t="s">
        <v>78</v>
      </c>
      <c r="I608" s="7">
        <v>-10819.71</v>
      </c>
    </row>
    <row r="609" spans="1:10" x14ac:dyDescent="0.3">
      <c r="A609" s="3">
        <v>45791</v>
      </c>
      <c r="B609" s="5">
        <v>5</v>
      </c>
      <c r="C609" s="5">
        <v>2025</v>
      </c>
      <c r="D609" s="5">
        <v>2</v>
      </c>
      <c r="E609" t="s">
        <v>31</v>
      </c>
      <c r="F609" t="s">
        <v>10</v>
      </c>
      <c r="G609" t="s">
        <v>74</v>
      </c>
      <c r="H609" t="s">
        <v>85</v>
      </c>
      <c r="I609" s="7">
        <v>4979.3100000000004</v>
      </c>
      <c r="J609" s="7">
        <v>5390.91</v>
      </c>
    </row>
    <row r="610" spans="1:10" x14ac:dyDescent="0.3">
      <c r="A610" s="3">
        <v>45792</v>
      </c>
      <c r="B610" s="5">
        <v>5</v>
      </c>
      <c r="C610" s="5">
        <v>2025</v>
      </c>
      <c r="D610" s="5">
        <v>2</v>
      </c>
      <c r="E610" t="s">
        <v>34</v>
      </c>
      <c r="F610" t="s">
        <v>17</v>
      </c>
      <c r="G610" t="s">
        <v>15</v>
      </c>
      <c r="H610" t="s">
        <v>36</v>
      </c>
      <c r="I610" s="7">
        <v>-7719.45</v>
      </c>
    </row>
    <row r="611" spans="1:10" x14ac:dyDescent="0.3">
      <c r="A611" s="3">
        <v>45792</v>
      </c>
      <c r="B611" s="5">
        <v>5</v>
      </c>
      <c r="C611" s="5">
        <v>2025</v>
      </c>
      <c r="D611" s="5">
        <v>2</v>
      </c>
      <c r="E611" t="s">
        <v>34</v>
      </c>
      <c r="F611" t="s">
        <v>17</v>
      </c>
      <c r="G611" t="s">
        <v>74</v>
      </c>
      <c r="H611" t="s">
        <v>88</v>
      </c>
      <c r="I611" s="7">
        <v>-7335.62</v>
      </c>
    </row>
    <row r="612" spans="1:10" x14ac:dyDescent="0.3">
      <c r="A612" s="3">
        <v>45793</v>
      </c>
      <c r="B612" s="5">
        <v>5</v>
      </c>
      <c r="C612" s="5">
        <v>2025</v>
      </c>
      <c r="D612" s="5">
        <v>2</v>
      </c>
      <c r="E612" t="s">
        <v>34</v>
      </c>
      <c r="F612" t="s">
        <v>10</v>
      </c>
      <c r="G612" t="s">
        <v>74</v>
      </c>
      <c r="H612" t="s">
        <v>87</v>
      </c>
      <c r="I612" s="7">
        <v>11543.33</v>
      </c>
      <c r="J612" s="7">
        <v>11616.54</v>
      </c>
    </row>
    <row r="613" spans="1:10" x14ac:dyDescent="0.3">
      <c r="A613" s="3">
        <v>45794</v>
      </c>
      <c r="B613" s="5">
        <v>5</v>
      </c>
      <c r="C613" s="5">
        <v>2025</v>
      </c>
      <c r="D613" s="5">
        <v>2</v>
      </c>
      <c r="E613" t="s">
        <v>22</v>
      </c>
      <c r="F613" t="s">
        <v>10</v>
      </c>
      <c r="G613" t="s">
        <v>15</v>
      </c>
      <c r="H613" t="s">
        <v>23</v>
      </c>
      <c r="I613" s="7">
        <v>37046.74</v>
      </c>
      <c r="J613" s="7">
        <v>40382.86</v>
      </c>
    </row>
    <row r="614" spans="1:10" x14ac:dyDescent="0.3">
      <c r="A614" s="3">
        <v>45794</v>
      </c>
      <c r="B614" s="5">
        <v>5</v>
      </c>
      <c r="C614" s="5">
        <v>2025</v>
      </c>
      <c r="D614" s="5">
        <v>2</v>
      </c>
      <c r="E614" t="s">
        <v>22</v>
      </c>
      <c r="F614" t="s">
        <v>10</v>
      </c>
      <c r="G614" t="s">
        <v>57</v>
      </c>
      <c r="H614" t="s">
        <v>62</v>
      </c>
      <c r="I614" s="7">
        <v>31835.33</v>
      </c>
      <c r="J614" s="7">
        <v>34639.129999999997</v>
      </c>
    </row>
    <row r="615" spans="1:10" x14ac:dyDescent="0.3">
      <c r="A615" s="3">
        <v>45794</v>
      </c>
      <c r="B615" s="5">
        <v>5</v>
      </c>
      <c r="C615" s="5">
        <v>2025</v>
      </c>
      <c r="D615" s="5">
        <v>2</v>
      </c>
      <c r="E615" t="s">
        <v>28</v>
      </c>
      <c r="F615" t="s">
        <v>17</v>
      </c>
      <c r="G615" t="s">
        <v>57</v>
      </c>
      <c r="H615" t="s">
        <v>67</v>
      </c>
      <c r="I615" s="7">
        <v>-18346.38</v>
      </c>
    </row>
    <row r="616" spans="1:10" x14ac:dyDescent="0.3">
      <c r="A616" s="3">
        <v>45795</v>
      </c>
      <c r="B616" s="5">
        <v>5</v>
      </c>
      <c r="C616" s="5">
        <v>2025</v>
      </c>
      <c r="D616" s="5">
        <v>2</v>
      </c>
      <c r="E616" t="s">
        <v>14</v>
      </c>
      <c r="F616" t="s">
        <v>10</v>
      </c>
      <c r="G616" t="s">
        <v>40</v>
      </c>
      <c r="H616" t="s">
        <v>41</v>
      </c>
      <c r="I616" s="7">
        <v>32395.279999999999</v>
      </c>
      <c r="J616" s="7">
        <v>33846.6</v>
      </c>
    </row>
    <row r="617" spans="1:10" x14ac:dyDescent="0.3">
      <c r="A617" s="3">
        <v>45796</v>
      </c>
      <c r="B617" s="5">
        <v>5</v>
      </c>
      <c r="C617" s="5">
        <v>2025</v>
      </c>
      <c r="D617" s="5">
        <v>2</v>
      </c>
      <c r="E617" t="s">
        <v>28</v>
      </c>
      <c r="F617" t="s">
        <v>10</v>
      </c>
      <c r="G617" t="s">
        <v>15</v>
      </c>
      <c r="H617" t="s">
        <v>29</v>
      </c>
      <c r="I617" s="7">
        <v>23512.42</v>
      </c>
      <c r="J617" s="7">
        <v>22026.73</v>
      </c>
    </row>
    <row r="618" spans="1:10" x14ac:dyDescent="0.3">
      <c r="A618" s="3">
        <v>45796</v>
      </c>
      <c r="B618" s="5">
        <v>5</v>
      </c>
      <c r="C618" s="5">
        <v>2025</v>
      </c>
      <c r="D618" s="5">
        <v>2</v>
      </c>
      <c r="E618" t="s">
        <v>14</v>
      </c>
      <c r="F618" t="s">
        <v>17</v>
      </c>
      <c r="G618" t="s">
        <v>57</v>
      </c>
      <c r="H618" t="s">
        <v>59</v>
      </c>
      <c r="I618" s="7">
        <v>-50068.09</v>
      </c>
    </row>
    <row r="619" spans="1:10" x14ac:dyDescent="0.3">
      <c r="A619" s="3">
        <v>45796</v>
      </c>
      <c r="B619" s="5">
        <v>5</v>
      </c>
      <c r="C619" s="5">
        <v>2025</v>
      </c>
      <c r="D619" s="5">
        <v>2</v>
      </c>
      <c r="E619" t="s">
        <v>34</v>
      </c>
      <c r="F619" t="s">
        <v>17</v>
      </c>
      <c r="G619" t="s">
        <v>57</v>
      </c>
      <c r="H619" t="s">
        <v>71</v>
      </c>
      <c r="I619" s="7">
        <v>-6713.09</v>
      </c>
    </row>
    <row r="620" spans="1:10" x14ac:dyDescent="0.3">
      <c r="A620" s="3">
        <v>45797</v>
      </c>
      <c r="B620" s="5">
        <v>5</v>
      </c>
      <c r="C620" s="5">
        <v>2025</v>
      </c>
      <c r="D620" s="5">
        <v>2</v>
      </c>
      <c r="E620" t="s">
        <v>22</v>
      </c>
      <c r="F620" t="s">
        <v>10</v>
      </c>
      <c r="G620" t="s">
        <v>40</v>
      </c>
      <c r="H620" t="s">
        <v>45</v>
      </c>
      <c r="I620" s="7">
        <v>30569.91</v>
      </c>
      <c r="J620" s="7">
        <v>30521.73</v>
      </c>
    </row>
    <row r="621" spans="1:10" x14ac:dyDescent="0.3">
      <c r="A621" s="3">
        <v>45797</v>
      </c>
      <c r="B621" s="5">
        <v>5</v>
      </c>
      <c r="C621" s="5">
        <v>2025</v>
      </c>
      <c r="D621" s="5">
        <v>2</v>
      </c>
      <c r="E621" t="s">
        <v>31</v>
      </c>
      <c r="F621" t="s">
        <v>17</v>
      </c>
      <c r="G621" t="s">
        <v>40</v>
      </c>
      <c r="H621" t="s">
        <v>52</v>
      </c>
      <c r="I621" s="7">
        <v>-9216.7999999999993</v>
      </c>
    </row>
    <row r="622" spans="1:10" x14ac:dyDescent="0.3">
      <c r="A622" s="3">
        <v>45798</v>
      </c>
      <c r="B622" s="5">
        <v>5</v>
      </c>
      <c r="C622" s="5">
        <v>2025</v>
      </c>
      <c r="D622" s="5">
        <v>2</v>
      </c>
      <c r="E622" t="s">
        <v>31</v>
      </c>
      <c r="F622" t="s">
        <v>10</v>
      </c>
      <c r="G622" t="s">
        <v>40</v>
      </c>
      <c r="H622" t="s">
        <v>51</v>
      </c>
      <c r="I622" s="7">
        <v>6381.27</v>
      </c>
      <c r="J622" s="7">
        <v>6769.28</v>
      </c>
    </row>
    <row r="623" spans="1:10" x14ac:dyDescent="0.3">
      <c r="A623" s="3">
        <v>45799</v>
      </c>
      <c r="B623" s="5">
        <v>5</v>
      </c>
      <c r="C623" s="5">
        <v>2025</v>
      </c>
      <c r="D623" s="5">
        <v>2</v>
      </c>
      <c r="E623" t="s">
        <v>14</v>
      </c>
      <c r="F623" t="s">
        <v>10</v>
      </c>
      <c r="G623" t="s">
        <v>15</v>
      </c>
      <c r="H623" t="s">
        <v>16</v>
      </c>
      <c r="I623" s="7">
        <v>35730.46</v>
      </c>
      <c r="J623" s="7">
        <v>38076.69</v>
      </c>
    </row>
    <row r="624" spans="1:10" x14ac:dyDescent="0.3">
      <c r="A624" s="3">
        <v>45799</v>
      </c>
      <c r="B624" s="5">
        <v>5</v>
      </c>
      <c r="C624" s="5">
        <v>2025</v>
      </c>
      <c r="D624" s="5">
        <v>2</v>
      </c>
      <c r="E624" t="s">
        <v>22</v>
      </c>
      <c r="F624" t="s">
        <v>17</v>
      </c>
      <c r="G624" t="s">
        <v>15</v>
      </c>
      <c r="H624" t="s">
        <v>24</v>
      </c>
      <c r="I624" s="7">
        <v>-28780.62</v>
      </c>
    </row>
    <row r="625" spans="1:10" x14ac:dyDescent="0.3">
      <c r="A625" s="3">
        <v>45799</v>
      </c>
      <c r="B625" s="5">
        <v>5</v>
      </c>
      <c r="C625" s="5">
        <v>2025</v>
      </c>
      <c r="D625" s="5">
        <v>2</v>
      </c>
      <c r="E625" t="s">
        <v>22</v>
      </c>
      <c r="F625" t="s">
        <v>17</v>
      </c>
      <c r="G625" t="s">
        <v>74</v>
      </c>
      <c r="H625" t="s">
        <v>80</v>
      </c>
      <c r="I625" s="7">
        <v>-28616.639999999999</v>
      </c>
    </row>
    <row r="626" spans="1:10" x14ac:dyDescent="0.3">
      <c r="A626" s="3">
        <v>45801</v>
      </c>
      <c r="B626" s="5">
        <v>5</v>
      </c>
      <c r="C626" s="5">
        <v>2025</v>
      </c>
      <c r="D626" s="5">
        <v>2</v>
      </c>
      <c r="E626" t="s">
        <v>28</v>
      </c>
      <c r="F626" t="s">
        <v>17</v>
      </c>
      <c r="G626" t="s">
        <v>40</v>
      </c>
      <c r="H626" t="s">
        <v>50</v>
      </c>
      <c r="I626" s="7">
        <v>-28026.83</v>
      </c>
    </row>
    <row r="627" spans="1:10" x14ac:dyDescent="0.3">
      <c r="A627" s="3">
        <v>45801</v>
      </c>
      <c r="B627" s="5">
        <v>5</v>
      </c>
      <c r="C627" s="5">
        <v>2025</v>
      </c>
      <c r="D627" s="5">
        <v>2</v>
      </c>
      <c r="E627" t="s">
        <v>14</v>
      </c>
      <c r="F627" t="s">
        <v>17</v>
      </c>
      <c r="G627" t="s">
        <v>74</v>
      </c>
      <c r="H627" t="s">
        <v>76</v>
      </c>
      <c r="I627" s="7">
        <v>-16277.95</v>
      </c>
    </row>
    <row r="628" spans="1:10" x14ac:dyDescent="0.3">
      <c r="A628" s="3">
        <v>45802</v>
      </c>
      <c r="B628" s="5">
        <v>5</v>
      </c>
      <c r="C628" s="5">
        <v>2025</v>
      </c>
      <c r="D628" s="5">
        <v>2</v>
      </c>
      <c r="E628" t="s">
        <v>19</v>
      </c>
      <c r="F628" t="s">
        <v>10</v>
      </c>
      <c r="G628" t="s">
        <v>15</v>
      </c>
      <c r="H628" t="s">
        <v>20</v>
      </c>
      <c r="I628" s="7">
        <v>31278.799999999999</v>
      </c>
      <c r="J628" s="7">
        <v>29616.98</v>
      </c>
    </row>
    <row r="629" spans="1:10" x14ac:dyDescent="0.3">
      <c r="A629" s="3">
        <v>45803</v>
      </c>
      <c r="B629" s="5">
        <v>5</v>
      </c>
      <c r="C629" s="5">
        <v>2025</v>
      </c>
      <c r="D629" s="5">
        <v>2</v>
      </c>
      <c r="E629" t="s">
        <v>19</v>
      </c>
      <c r="F629" t="s">
        <v>10</v>
      </c>
      <c r="G629" t="s">
        <v>57</v>
      </c>
      <c r="H629" t="s">
        <v>60</v>
      </c>
      <c r="I629" s="7">
        <v>23498.6</v>
      </c>
      <c r="J629" s="7">
        <v>23354.83</v>
      </c>
    </row>
    <row r="630" spans="1:10" x14ac:dyDescent="0.3">
      <c r="A630" s="3">
        <v>45803</v>
      </c>
      <c r="B630" s="5">
        <v>5</v>
      </c>
      <c r="C630" s="5">
        <v>2025</v>
      </c>
      <c r="D630" s="5">
        <v>2</v>
      </c>
      <c r="E630" t="s">
        <v>22</v>
      </c>
      <c r="F630" t="s">
        <v>17</v>
      </c>
      <c r="G630" t="s">
        <v>57</v>
      </c>
      <c r="H630" t="s">
        <v>63</v>
      </c>
      <c r="I630" s="7">
        <v>-42202.32</v>
      </c>
    </row>
    <row r="631" spans="1:10" x14ac:dyDescent="0.3">
      <c r="A631" s="3">
        <v>45804</v>
      </c>
      <c r="B631" s="5">
        <v>5</v>
      </c>
      <c r="C631" s="5">
        <v>2025</v>
      </c>
      <c r="D631" s="5">
        <v>2</v>
      </c>
      <c r="E631" t="s">
        <v>14</v>
      </c>
      <c r="F631" t="s">
        <v>17</v>
      </c>
      <c r="G631" t="s">
        <v>40</v>
      </c>
      <c r="H631" t="s">
        <v>42</v>
      </c>
      <c r="I631" s="7">
        <v>-50167.61</v>
      </c>
    </row>
    <row r="632" spans="1:10" x14ac:dyDescent="0.3">
      <c r="A632" s="3">
        <v>45804</v>
      </c>
      <c r="B632" s="5">
        <v>5</v>
      </c>
      <c r="C632" s="5">
        <v>2025</v>
      </c>
      <c r="D632" s="5">
        <v>2</v>
      </c>
      <c r="E632" t="s">
        <v>25</v>
      </c>
      <c r="F632" t="s">
        <v>10</v>
      </c>
      <c r="G632" t="s">
        <v>40</v>
      </c>
      <c r="H632" t="s">
        <v>47</v>
      </c>
      <c r="I632" s="7">
        <v>11007.36</v>
      </c>
      <c r="J632" s="7">
        <v>10534.75</v>
      </c>
    </row>
    <row r="633" spans="1:10" x14ac:dyDescent="0.3">
      <c r="A633" s="3">
        <v>45805</v>
      </c>
      <c r="B633" s="5">
        <v>5</v>
      </c>
      <c r="C633" s="5">
        <v>2025</v>
      </c>
      <c r="D633" s="5">
        <v>2</v>
      </c>
      <c r="E633" t="s">
        <v>31</v>
      </c>
      <c r="F633" t="s">
        <v>10</v>
      </c>
      <c r="G633" t="s">
        <v>15</v>
      </c>
      <c r="H633" t="s">
        <v>32</v>
      </c>
      <c r="I633" s="7">
        <v>6503.48</v>
      </c>
      <c r="J633" s="7">
        <v>6372.72</v>
      </c>
    </row>
    <row r="634" spans="1:10" x14ac:dyDescent="0.3">
      <c r="A634" s="3">
        <v>45805</v>
      </c>
      <c r="B634" s="5">
        <v>5</v>
      </c>
      <c r="C634" s="5">
        <v>2025</v>
      </c>
      <c r="D634" s="5">
        <v>2</v>
      </c>
      <c r="E634" t="s">
        <v>34</v>
      </c>
      <c r="F634" t="s">
        <v>10</v>
      </c>
      <c r="G634" t="s">
        <v>15</v>
      </c>
      <c r="H634" t="s">
        <v>35</v>
      </c>
      <c r="I634" s="7">
        <v>13156.12</v>
      </c>
      <c r="J634" s="7">
        <v>12418.78</v>
      </c>
    </row>
    <row r="635" spans="1:10" x14ac:dyDescent="0.3">
      <c r="A635" s="3">
        <v>45805</v>
      </c>
      <c r="B635" s="5">
        <v>5</v>
      </c>
      <c r="C635" s="5">
        <v>2025</v>
      </c>
      <c r="D635" s="5">
        <v>2</v>
      </c>
      <c r="E635" t="s">
        <v>28</v>
      </c>
      <c r="F635" t="s">
        <v>10</v>
      </c>
      <c r="G635" t="s">
        <v>57</v>
      </c>
      <c r="H635" t="s">
        <v>66</v>
      </c>
      <c r="I635" s="7">
        <v>17075.3</v>
      </c>
      <c r="J635" s="7">
        <v>18771.990000000002</v>
      </c>
    </row>
    <row r="636" spans="1:10" x14ac:dyDescent="0.3">
      <c r="A636" s="3">
        <v>45805</v>
      </c>
      <c r="B636" s="5">
        <v>5</v>
      </c>
      <c r="C636" s="5">
        <v>2025</v>
      </c>
      <c r="D636" s="5">
        <v>2</v>
      </c>
      <c r="E636" t="s">
        <v>34</v>
      </c>
      <c r="F636" t="s">
        <v>10</v>
      </c>
      <c r="G636" t="s">
        <v>57</v>
      </c>
      <c r="H636" t="s">
        <v>70</v>
      </c>
      <c r="I636" s="7">
        <v>14640.72</v>
      </c>
      <c r="J636" s="7">
        <v>16061.43</v>
      </c>
    </row>
    <row r="637" spans="1:10" x14ac:dyDescent="0.3">
      <c r="A637" s="3">
        <v>45806</v>
      </c>
      <c r="B637" s="5">
        <v>5</v>
      </c>
      <c r="C637" s="5">
        <v>2025</v>
      </c>
      <c r="D637" s="5">
        <v>2</v>
      </c>
      <c r="E637" t="s">
        <v>28</v>
      </c>
      <c r="F637" t="s">
        <v>10</v>
      </c>
      <c r="G637" t="s">
        <v>40</v>
      </c>
      <c r="H637" t="s">
        <v>49</v>
      </c>
      <c r="I637" s="7">
        <v>19919.68</v>
      </c>
      <c r="J637" s="7">
        <v>20691.259999999998</v>
      </c>
    </row>
    <row r="638" spans="1:10" x14ac:dyDescent="0.3">
      <c r="A638" s="3">
        <v>45807</v>
      </c>
      <c r="B638" s="5">
        <v>5</v>
      </c>
      <c r="C638" s="5">
        <v>2025</v>
      </c>
      <c r="D638" s="5">
        <v>2</v>
      </c>
      <c r="E638" t="s">
        <v>37</v>
      </c>
      <c r="F638" t="s">
        <v>10</v>
      </c>
      <c r="G638" t="s">
        <v>15</v>
      </c>
      <c r="H638" t="s">
        <v>38</v>
      </c>
      <c r="I638" s="7">
        <v>8716.82</v>
      </c>
      <c r="J638" s="7">
        <v>9226.85</v>
      </c>
    </row>
    <row r="639" spans="1:10" x14ac:dyDescent="0.3">
      <c r="A639" s="3">
        <v>45807</v>
      </c>
      <c r="B639" s="5">
        <v>5</v>
      </c>
      <c r="C639" s="5">
        <v>2025</v>
      </c>
      <c r="D639" s="5">
        <v>2</v>
      </c>
      <c r="E639" t="s">
        <v>37</v>
      </c>
      <c r="F639" t="s">
        <v>17</v>
      </c>
      <c r="G639" t="s">
        <v>57</v>
      </c>
      <c r="H639" t="s">
        <v>73</v>
      </c>
      <c r="I639" s="7">
        <v>-6062.98</v>
      </c>
    </row>
    <row r="640" spans="1:10" x14ac:dyDescent="0.3">
      <c r="A640" s="3">
        <v>45807</v>
      </c>
      <c r="B640" s="5">
        <v>5</v>
      </c>
      <c r="C640" s="5">
        <v>2025</v>
      </c>
      <c r="D640" s="5">
        <v>2</v>
      </c>
      <c r="E640" t="s">
        <v>14</v>
      </c>
      <c r="F640" t="s">
        <v>10</v>
      </c>
      <c r="G640" t="s">
        <v>74</v>
      </c>
      <c r="H640" t="s">
        <v>75</v>
      </c>
      <c r="I640" s="7">
        <v>24944.7</v>
      </c>
      <c r="J640" s="7">
        <v>27276.9</v>
      </c>
    </row>
    <row r="641" spans="1:10" x14ac:dyDescent="0.3">
      <c r="A641" s="3">
        <v>45808</v>
      </c>
      <c r="B641" s="5">
        <v>5</v>
      </c>
      <c r="C641" s="5">
        <v>2025</v>
      </c>
      <c r="D641" s="5">
        <v>2</v>
      </c>
      <c r="E641" t="s">
        <v>34</v>
      </c>
      <c r="F641" t="s">
        <v>17</v>
      </c>
      <c r="G641" t="s">
        <v>40</v>
      </c>
      <c r="H641" t="s">
        <v>54</v>
      </c>
      <c r="I641" s="7">
        <v>-6353.73</v>
      </c>
    </row>
    <row r="642" spans="1:10" x14ac:dyDescent="0.3">
      <c r="A642" s="3">
        <v>45809</v>
      </c>
      <c r="B642" s="5">
        <v>6</v>
      </c>
      <c r="C642" s="5">
        <v>2025</v>
      </c>
      <c r="D642" s="5">
        <v>2</v>
      </c>
      <c r="E642" t="s">
        <v>14</v>
      </c>
      <c r="F642" t="s">
        <v>10</v>
      </c>
      <c r="G642" t="s">
        <v>74</v>
      </c>
      <c r="H642" t="s">
        <v>75</v>
      </c>
      <c r="I642" s="7">
        <v>25832.51</v>
      </c>
      <c r="J642" s="7">
        <v>27033.53</v>
      </c>
    </row>
    <row r="643" spans="1:10" x14ac:dyDescent="0.3">
      <c r="A643" s="3">
        <v>45810</v>
      </c>
      <c r="B643" s="5">
        <v>6</v>
      </c>
      <c r="C643" s="5">
        <v>2025</v>
      </c>
      <c r="D643" s="5">
        <v>2</v>
      </c>
      <c r="E643" t="s">
        <v>34</v>
      </c>
      <c r="F643" t="s">
        <v>10</v>
      </c>
      <c r="G643" t="s">
        <v>15</v>
      </c>
      <c r="H643" t="s">
        <v>35</v>
      </c>
      <c r="I643" s="7">
        <v>11523.39</v>
      </c>
      <c r="J643" s="7">
        <v>12342.06</v>
      </c>
    </row>
    <row r="644" spans="1:10" x14ac:dyDescent="0.3">
      <c r="A644" s="3">
        <v>45810</v>
      </c>
      <c r="B644" s="5">
        <v>6</v>
      </c>
      <c r="C644" s="5">
        <v>2025</v>
      </c>
      <c r="D644" s="5">
        <v>2</v>
      </c>
      <c r="E644" t="s">
        <v>37</v>
      </c>
      <c r="F644" t="s">
        <v>10</v>
      </c>
      <c r="G644" t="s">
        <v>15</v>
      </c>
      <c r="H644" t="s">
        <v>38</v>
      </c>
      <c r="I644" s="7">
        <v>6996.59</v>
      </c>
      <c r="J644" s="7">
        <v>7540.84</v>
      </c>
    </row>
    <row r="645" spans="1:10" x14ac:dyDescent="0.3">
      <c r="A645" s="3">
        <v>45810</v>
      </c>
      <c r="B645" s="5">
        <v>6</v>
      </c>
      <c r="C645" s="5">
        <v>2025</v>
      </c>
      <c r="D645" s="5">
        <v>2</v>
      </c>
      <c r="E645" t="s">
        <v>28</v>
      </c>
      <c r="F645" t="s">
        <v>17</v>
      </c>
      <c r="G645" t="s">
        <v>57</v>
      </c>
      <c r="H645" t="s">
        <v>67</v>
      </c>
      <c r="I645" s="7">
        <v>-14240.67</v>
      </c>
    </row>
    <row r="646" spans="1:10" x14ac:dyDescent="0.3">
      <c r="A646" s="3">
        <v>45811</v>
      </c>
      <c r="B646" s="5">
        <v>6</v>
      </c>
      <c r="C646" s="5">
        <v>2025</v>
      </c>
      <c r="D646" s="5">
        <v>2</v>
      </c>
      <c r="E646" t="s">
        <v>25</v>
      </c>
      <c r="F646" t="s">
        <v>10</v>
      </c>
      <c r="G646" t="s">
        <v>15</v>
      </c>
      <c r="H646" t="s">
        <v>26</v>
      </c>
      <c r="I646" s="7">
        <v>7873.53</v>
      </c>
      <c r="J646" s="7">
        <v>8299.2999999999993</v>
      </c>
    </row>
    <row r="647" spans="1:10" x14ac:dyDescent="0.3">
      <c r="A647" s="3">
        <v>45811</v>
      </c>
      <c r="B647" s="5">
        <v>6</v>
      </c>
      <c r="C647" s="5">
        <v>2025</v>
      </c>
      <c r="D647" s="5">
        <v>2</v>
      </c>
      <c r="E647" t="s">
        <v>31</v>
      </c>
      <c r="F647" t="s">
        <v>17</v>
      </c>
      <c r="G647" t="s">
        <v>57</v>
      </c>
      <c r="H647" t="s">
        <v>69</v>
      </c>
      <c r="I647" s="7">
        <v>-1536.16</v>
      </c>
    </row>
    <row r="648" spans="1:10" x14ac:dyDescent="0.3">
      <c r="A648" s="3">
        <v>45811</v>
      </c>
      <c r="B648" s="5">
        <v>6</v>
      </c>
      <c r="C648" s="5">
        <v>2025</v>
      </c>
      <c r="D648" s="5">
        <v>2</v>
      </c>
      <c r="E648" t="s">
        <v>14</v>
      </c>
      <c r="F648" t="s">
        <v>17</v>
      </c>
      <c r="G648" t="s">
        <v>74</v>
      </c>
      <c r="H648" t="s">
        <v>76</v>
      </c>
      <c r="I648" s="7">
        <v>-11986.17</v>
      </c>
    </row>
    <row r="649" spans="1:10" x14ac:dyDescent="0.3">
      <c r="A649" s="3">
        <v>45812</v>
      </c>
      <c r="B649" s="5">
        <v>6</v>
      </c>
      <c r="C649" s="5">
        <v>2025</v>
      </c>
      <c r="D649" s="5">
        <v>2</v>
      </c>
      <c r="E649" t="s">
        <v>22</v>
      </c>
      <c r="F649" t="s">
        <v>17</v>
      </c>
      <c r="G649" t="s">
        <v>74</v>
      </c>
      <c r="H649" t="s">
        <v>80</v>
      </c>
      <c r="I649" s="7">
        <v>-16829.59</v>
      </c>
    </row>
    <row r="650" spans="1:10" x14ac:dyDescent="0.3">
      <c r="A650" s="3">
        <v>45812</v>
      </c>
      <c r="B650" s="5">
        <v>6</v>
      </c>
      <c r="C650" s="5">
        <v>2025</v>
      </c>
      <c r="D650" s="5">
        <v>2</v>
      </c>
      <c r="E650" t="s">
        <v>28</v>
      </c>
      <c r="F650" t="s">
        <v>17</v>
      </c>
      <c r="G650" t="s">
        <v>74</v>
      </c>
      <c r="H650" t="s">
        <v>84</v>
      </c>
      <c r="I650" s="7">
        <v>-13099.039999999999</v>
      </c>
    </row>
    <row r="651" spans="1:10" x14ac:dyDescent="0.3">
      <c r="A651" s="3">
        <v>45813</v>
      </c>
      <c r="B651" s="5">
        <v>6</v>
      </c>
      <c r="C651" s="5">
        <v>2025</v>
      </c>
      <c r="D651" s="5">
        <v>2</v>
      </c>
      <c r="E651" t="s">
        <v>14</v>
      </c>
      <c r="F651" t="s">
        <v>10</v>
      </c>
      <c r="G651" t="s">
        <v>15</v>
      </c>
      <c r="H651" t="s">
        <v>16</v>
      </c>
      <c r="I651" s="7">
        <v>29446.26</v>
      </c>
      <c r="J651" s="7">
        <v>31598.02</v>
      </c>
    </row>
    <row r="652" spans="1:10" x14ac:dyDescent="0.3">
      <c r="A652" s="3">
        <v>45813</v>
      </c>
      <c r="B652" s="5">
        <v>6</v>
      </c>
      <c r="C652" s="5">
        <v>2025</v>
      </c>
      <c r="D652" s="5">
        <v>2</v>
      </c>
      <c r="E652" t="s">
        <v>31</v>
      </c>
      <c r="F652" t="s">
        <v>10</v>
      </c>
      <c r="G652" t="s">
        <v>15</v>
      </c>
      <c r="H652" t="s">
        <v>32</v>
      </c>
      <c r="I652" s="7">
        <v>5824.92</v>
      </c>
      <c r="J652" s="7">
        <v>5676.37</v>
      </c>
    </row>
    <row r="653" spans="1:10" x14ac:dyDescent="0.3">
      <c r="A653" s="3">
        <v>45814</v>
      </c>
      <c r="B653" s="5">
        <v>6</v>
      </c>
      <c r="C653" s="5">
        <v>2025</v>
      </c>
      <c r="D653" s="5">
        <v>2</v>
      </c>
      <c r="E653" t="s">
        <v>37</v>
      </c>
      <c r="F653" t="s">
        <v>17</v>
      </c>
      <c r="G653" t="s">
        <v>15</v>
      </c>
      <c r="H653" t="s">
        <v>39</v>
      </c>
      <c r="I653" s="7">
        <v>-4059.3</v>
      </c>
    </row>
    <row r="654" spans="1:10" x14ac:dyDescent="0.3">
      <c r="A654" s="3">
        <v>45814</v>
      </c>
      <c r="B654" s="5">
        <v>6</v>
      </c>
      <c r="C654" s="5">
        <v>2025</v>
      </c>
      <c r="D654" s="5">
        <v>2</v>
      </c>
      <c r="E654" t="s">
        <v>19</v>
      </c>
      <c r="F654" t="s">
        <v>17</v>
      </c>
      <c r="G654" t="s">
        <v>40</v>
      </c>
      <c r="H654" t="s">
        <v>44</v>
      </c>
      <c r="I654" s="7">
        <v>-9279.48</v>
      </c>
    </row>
    <row r="655" spans="1:10" x14ac:dyDescent="0.3">
      <c r="A655" s="3">
        <v>45815</v>
      </c>
      <c r="B655" s="5">
        <v>6</v>
      </c>
      <c r="C655" s="5">
        <v>2025</v>
      </c>
      <c r="D655" s="5">
        <v>2</v>
      </c>
      <c r="E655" t="s">
        <v>31</v>
      </c>
      <c r="F655" t="s">
        <v>17</v>
      </c>
      <c r="G655" t="s">
        <v>40</v>
      </c>
      <c r="H655" t="s">
        <v>52</v>
      </c>
      <c r="I655" s="7">
        <v>-6366.41</v>
      </c>
    </row>
    <row r="656" spans="1:10" x14ac:dyDescent="0.3">
      <c r="A656" s="3">
        <v>45815</v>
      </c>
      <c r="B656" s="5">
        <v>6</v>
      </c>
      <c r="C656" s="5">
        <v>2025</v>
      </c>
      <c r="D656" s="5">
        <v>2</v>
      </c>
      <c r="E656" t="s">
        <v>14</v>
      </c>
      <c r="F656" t="s">
        <v>10</v>
      </c>
      <c r="G656" t="s">
        <v>57</v>
      </c>
      <c r="H656" t="s">
        <v>58</v>
      </c>
      <c r="I656" s="7">
        <v>34572.080000000002</v>
      </c>
      <c r="J656" s="7">
        <v>32853.97</v>
      </c>
    </row>
    <row r="657" spans="1:10" x14ac:dyDescent="0.3">
      <c r="A657" s="3">
        <v>45816</v>
      </c>
      <c r="B657" s="5">
        <v>6</v>
      </c>
      <c r="C657" s="5">
        <v>2025</v>
      </c>
      <c r="D657" s="5">
        <v>2</v>
      </c>
      <c r="E657" t="s">
        <v>22</v>
      </c>
      <c r="F657" t="s">
        <v>10</v>
      </c>
      <c r="G657" t="s">
        <v>15</v>
      </c>
      <c r="H657" t="s">
        <v>23</v>
      </c>
      <c r="I657" s="7">
        <v>24983.02</v>
      </c>
      <c r="J657" s="7">
        <v>23250.57</v>
      </c>
    </row>
    <row r="658" spans="1:10" x14ac:dyDescent="0.3">
      <c r="A658" s="3">
        <v>45816</v>
      </c>
      <c r="B658" s="5">
        <v>6</v>
      </c>
      <c r="C658" s="5">
        <v>2025</v>
      </c>
      <c r="D658" s="5">
        <v>2</v>
      </c>
      <c r="E658" t="s">
        <v>25</v>
      </c>
      <c r="F658" t="s">
        <v>10</v>
      </c>
      <c r="G658" t="s">
        <v>40</v>
      </c>
      <c r="H658" t="s">
        <v>47</v>
      </c>
      <c r="I658" s="7">
        <v>9309.5499999999993</v>
      </c>
      <c r="J658" s="7">
        <v>9834.94</v>
      </c>
    </row>
    <row r="659" spans="1:10" x14ac:dyDescent="0.3">
      <c r="A659" s="3">
        <v>45816</v>
      </c>
      <c r="B659" s="5">
        <v>6</v>
      </c>
      <c r="C659" s="5">
        <v>2025</v>
      </c>
      <c r="D659" s="5">
        <v>2</v>
      </c>
      <c r="E659" t="s">
        <v>19</v>
      </c>
      <c r="F659" t="s">
        <v>10</v>
      </c>
      <c r="G659" t="s">
        <v>57</v>
      </c>
      <c r="H659" t="s">
        <v>60</v>
      </c>
      <c r="I659" s="7">
        <v>26537.03</v>
      </c>
      <c r="J659" s="7">
        <v>28682.28</v>
      </c>
    </row>
    <row r="660" spans="1:10" x14ac:dyDescent="0.3">
      <c r="A660" s="3">
        <v>45816</v>
      </c>
      <c r="B660" s="5">
        <v>6</v>
      </c>
      <c r="C660" s="5">
        <v>2025</v>
      </c>
      <c r="D660" s="5">
        <v>2</v>
      </c>
      <c r="E660" t="s">
        <v>34</v>
      </c>
      <c r="F660" t="s">
        <v>10</v>
      </c>
      <c r="G660" t="s">
        <v>74</v>
      </c>
      <c r="H660" t="s">
        <v>87</v>
      </c>
      <c r="I660" s="7">
        <v>12141.32</v>
      </c>
      <c r="J660" s="7">
        <v>12358.72</v>
      </c>
    </row>
    <row r="661" spans="1:10" x14ac:dyDescent="0.3">
      <c r="A661" s="3">
        <v>45817</v>
      </c>
      <c r="B661" s="5">
        <v>6</v>
      </c>
      <c r="C661" s="5">
        <v>2025</v>
      </c>
      <c r="D661" s="5">
        <v>2</v>
      </c>
      <c r="E661" t="s">
        <v>22</v>
      </c>
      <c r="F661" t="s">
        <v>10</v>
      </c>
      <c r="G661" t="s">
        <v>40</v>
      </c>
      <c r="H661" t="s">
        <v>45</v>
      </c>
      <c r="I661" s="7">
        <v>22164.69</v>
      </c>
      <c r="J661" s="7">
        <v>22141.88</v>
      </c>
    </row>
    <row r="662" spans="1:10" x14ac:dyDescent="0.3">
      <c r="A662" s="3">
        <v>45817</v>
      </c>
      <c r="B662" s="5">
        <v>6</v>
      </c>
      <c r="C662" s="5">
        <v>2025</v>
      </c>
      <c r="D662" s="5">
        <v>2</v>
      </c>
      <c r="E662" t="s">
        <v>31</v>
      </c>
      <c r="F662" t="s">
        <v>10</v>
      </c>
      <c r="G662" t="s">
        <v>40</v>
      </c>
      <c r="H662" t="s">
        <v>51</v>
      </c>
      <c r="I662" s="7">
        <v>4267.3</v>
      </c>
      <c r="J662" s="7">
        <v>4433.2700000000004</v>
      </c>
    </row>
    <row r="663" spans="1:10" x14ac:dyDescent="0.3">
      <c r="A663" s="3">
        <v>45817</v>
      </c>
      <c r="B663" s="5">
        <v>6</v>
      </c>
      <c r="C663" s="5">
        <v>2025</v>
      </c>
      <c r="D663" s="5">
        <v>2</v>
      </c>
      <c r="E663" t="s">
        <v>22</v>
      </c>
      <c r="F663" t="s">
        <v>17</v>
      </c>
      <c r="G663" t="s">
        <v>57</v>
      </c>
      <c r="H663" t="s">
        <v>63</v>
      </c>
      <c r="I663" s="7">
        <v>-25968.120000000003</v>
      </c>
    </row>
    <row r="664" spans="1:10" x14ac:dyDescent="0.3">
      <c r="A664" s="3">
        <v>45818</v>
      </c>
      <c r="B664" s="5">
        <v>6</v>
      </c>
      <c r="C664" s="5">
        <v>2025</v>
      </c>
      <c r="D664" s="5">
        <v>2</v>
      </c>
      <c r="E664" t="s">
        <v>14</v>
      </c>
      <c r="F664" t="s">
        <v>17</v>
      </c>
      <c r="G664" t="s">
        <v>40</v>
      </c>
      <c r="H664" t="s">
        <v>42</v>
      </c>
      <c r="I664" s="7">
        <v>-37762.879999999997</v>
      </c>
    </row>
    <row r="665" spans="1:10" x14ac:dyDescent="0.3">
      <c r="A665" s="3">
        <v>45818</v>
      </c>
      <c r="B665" s="5">
        <v>6</v>
      </c>
      <c r="C665" s="5">
        <v>2025</v>
      </c>
      <c r="D665" s="5">
        <v>2</v>
      </c>
      <c r="E665" t="s">
        <v>34</v>
      </c>
      <c r="F665" t="s">
        <v>10</v>
      </c>
      <c r="G665" t="s">
        <v>40</v>
      </c>
      <c r="H665" t="s">
        <v>53</v>
      </c>
      <c r="I665" s="7">
        <v>13205.39</v>
      </c>
      <c r="J665" s="7">
        <v>12811.72</v>
      </c>
    </row>
    <row r="666" spans="1:10" x14ac:dyDescent="0.3">
      <c r="A666" s="3">
        <v>45818</v>
      </c>
      <c r="B666" s="5">
        <v>6</v>
      </c>
      <c r="C666" s="5">
        <v>2025</v>
      </c>
      <c r="D666" s="5">
        <v>2</v>
      </c>
      <c r="E666" t="s">
        <v>25</v>
      </c>
      <c r="F666" t="s">
        <v>10</v>
      </c>
      <c r="G666" t="s">
        <v>57</v>
      </c>
      <c r="H666" t="s">
        <v>64</v>
      </c>
      <c r="I666" s="7">
        <v>7969.78</v>
      </c>
      <c r="J666" s="7">
        <v>7990.37</v>
      </c>
    </row>
    <row r="667" spans="1:10" x14ac:dyDescent="0.3">
      <c r="A667" s="3">
        <v>45818</v>
      </c>
      <c r="B667" s="5">
        <v>6</v>
      </c>
      <c r="C667" s="5">
        <v>2025</v>
      </c>
      <c r="D667" s="5">
        <v>2</v>
      </c>
      <c r="E667" t="s">
        <v>31</v>
      </c>
      <c r="F667" t="s">
        <v>10</v>
      </c>
      <c r="G667" t="s">
        <v>74</v>
      </c>
      <c r="H667" t="s">
        <v>85</v>
      </c>
      <c r="I667" s="7">
        <v>4360.1400000000003</v>
      </c>
      <c r="J667" s="7">
        <v>4128.1000000000004</v>
      </c>
    </row>
    <row r="668" spans="1:10" x14ac:dyDescent="0.3">
      <c r="A668" s="3">
        <v>45819</v>
      </c>
      <c r="B668" s="5">
        <v>6</v>
      </c>
      <c r="C668" s="5">
        <v>2025</v>
      </c>
      <c r="D668" s="5">
        <v>2</v>
      </c>
      <c r="E668" t="s">
        <v>14</v>
      </c>
      <c r="F668" t="s">
        <v>17</v>
      </c>
      <c r="G668" t="s">
        <v>15</v>
      </c>
      <c r="H668" t="s">
        <v>18</v>
      </c>
      <c r="I668" s="7">
        <v>-10320.61</v>
      </c>
    </row>
    <row r="669" spans="1:10" x14ac:dyDescent="0.3">
      <c r="A669" s="3">
        <v>45819</v>
      </c>
      <c r="B669" s="5">
        <v>6</v>
      </c>
      <c r="C669" s="5">
        <v>2025</v>
      </c>
      <c r="D669" s="5">
        <v>2</v>
      </c>
      <c r="E669" t="s">
        <v>28</v>
      </c>
      <c r="F669" t="s">
        <v>10</v>
      </c>
      <c r="G669" t="s">
        <v>40</v>
      </c>
      <c r="H669" t="s">
        <v>49</v>
      </c>
      <c r="I669" s="7">
        <v>20139.89</v>
      </c>
      <c r="J669" s="7">
        <v>19700.560000000001</v>
      </c>
    </row>
    <row r="670" spans="1:10" x14ac:dyDescent="0.3">
      <c r="A670" s="3">
        <v>45819</v>
      </c>
      <c r="B670" s="5">
        <v>6</v>
      </c>
      <c r="C670" s="5">
        <v>2025</v>
      </c>
      <c r="D670" s="5">
        <v>2</v>
      </c>
      <c r="E670" t="s">
        <v>37</v>
      </c>
      <c r="F670" t="s">
        <v>17</v>
      </c>
      <c r="G670" t="s">
        <v>40</v>
      </c>
      <c r="H670" t="s">
        <v>56</v>
      </c>
      <c r="I670" s="7">
        <v>-4082.26</v>
      </c>
    </row>
    <row r="671" spans="1:10" x14ac:dyDescent="0.3">
      <c r="A671" s="3">
        <v>45822</v>
      </c>
      <c r="B671" s="5">
        <v>6</v>
      </c>
      <c r="C671" s="5">
        <v>2025</v>
      </c>
      <c r="D671" s="5">
        <v>2</v>
      </c>
      <c r="E671" t="s">
        <v>37</v>
      </c>
      <c r="F671" t="s">
        <v>10</v>
      </c>
      <c r="G671" t="s">
        <v>74</v>
      </c>
      <c r="H671" t="s">
        <v>89</v>
      </c>
      <c r="I671" s="7">
        <v>6395.46</v>
      </c>
      <c r="J671" s="7">
        <v>6612.75</v>
      </c>
    </row>
    <row r="672" spans="1:10" x14ac:dyDescent="0.3">
      <c r="A672" s="3">
        <v>45823</v>
      </c>
      <c r="B672" s="5">
        <v>6</v>
      </c>
      <c r="C672" s="5">
        <v>2025</v>
      </c>
      <c r="D672" s="5">
        <v>2</v>
      </c>
      <c r="E672" t="s">
        <v>14</v>
      </c>
      <c r="F672" t="s">
        <v>17</v>
      </c>
      <c r="G672" t="s">
        <v>57</v>
      </c>
      <c r="H672" t="s">
        <v>59</v>
      </c>
      <c r="I672" s="7">
        <v>-20585.7</v>
      </c>
    </row>
    <row r="673" spans="1:10" x14ac:dyDescent="0.3">
      <c r="A673" s="3">
        <v>45824</v>
      </c>
      <c r="B673" s="5">
        <v>6</v>
      </c>
      <c r="C673" s="5">
        <v>2025</v>
      </c>
      <c r="D673" s="5">
        <v>2</v>
      </c>
      <c r="E673" t="s">
        <v>34</v>
      </c>
      <c r="F673" t="s">
        <v>17</v>
      </c>
      <c r="G673" t="s">
        <v>40</v>
      </c>
      <c r="H673" t="s">
        <v>54</v>
      </c>
      <c r="I673" s="7">
        <v>-7152.34</v>
      </c>
    </row>
    <row r="674" spans="1:10" x14ac:dyDescent="0.3">
      <c r="A674" s="3">
        <v>45824</v>
      </c>
      <c r="B674" s="5">
        <v>6</v>
      </c>
      <c r="C674" s="5">
        <v>2025</v>
      </c>
      <c r="D674" s="5">
        <v>2</v>
      </c>
      <c r="E674" t="s">
        <v>37</v>
      </c>
      <c r="F674" t="s">
        <v>17</v>
      </c>
      <c r="G674" t="s">
        <v>57</v>
      </c>
      <c r="H674" t="s">
        <v>73</v>
      </c>
      <c r="I674" s="7">
        <v>-3004.03</v>
      </c>
    </row>
    <row r="675" spans="1:10" x14ac:dyDescent="0.3">
      <c r="A675" s="3">
        <v>45824</v>
      </c>
      <c r="B675" s="5">
        <v>6</v>
      </c>
      <c r="C675" s="5">
        <v>2025</v>
      </c>
      <c r="D675" s="5">
        <v>2</v>
      </c>
      <c r="E675" t="s">
        <v>19</v>
      </c>
      <c r="F675" t="s">
        <v>17</v>
      </c>
      <c r="G675" t="s">
        <v>74</v>
      </c>
      <c r="H675" t="s">
        <v>78</v>
      </c>
      <c r="I675" s="7">
        <v>-13608.83</v>
      </c>
    </row>
    <row r="676" spans="1:10" x14ac:dyDescent="0.3">
      <c r="A676" s="3">
        <v>45826</v>
      </c>
      <c r="B676" s="5">
        <v>6</v>
      </c>
      <c r="C676" s="5">
        <v>2025</v>
      </c>
      <c r="D676" s="5">
        <v>2</v>
      </c>
      <c r="E676" t="s">
        <v>14</v>
      </c>
      <c r="F676" t="s">
        <v>10</v>
      </c>
      <c r="G676" t="s">
        <v>40</v>
      </c>
      <c r="H676" t="s">
        <v>41</v>
      </c>
      <c r="I676" s="7">
        <v>34418.42</v>
      </c>
      <c r="J676" s="7">
        <v>32720.57</v>
      </c>
    </row>
    <row r="677" spans="1:10" x14ac:dyDescent="0.3">
      <c r="A677" s="3">
        <v>45826</v>
      </c>
      <c r="B677" s="5">
        <v>6</v>
      </c>
      <c r="C677" s="5">
        <v>2025</v>
      </c>
      <c r="D677" s="5">
        <v>2</v>
      </c>
      <c r="E677" t="s">
        <v>37</v>
      </c>
      <c r="F677" t="s">
        <v>17</v>
      </c>
      <c r="G677" t="s">
        <v>74</v>
      </c>
      <c r="H677" t="s">
        <v>90</v>
      </c>
      <c r="I677" s="7">
        <v>-3379.21</v>
      </c>
    </row>
    <row r="678" spans="1:10" x14ac:dyDescent="0.3">
      <c r="A678" s="3">
        <v>45827</v>
      </c>
      <c r="B678" s="5">
        <v>6</v>
      </c>
      <c r="C678" s="5">
        <v>2025</v>
      </c>
      <c r="D678" s="5">
        <v>2</v>
      </c>
      <c r="E678" t="s">
        <v>22</v>
      </c>
      <c r="F678" t="s">
        <v>17</v>
      </c>
      <c r="G678" t="s">
        <v>40</v>
      </c>
      <c r="H678" t="s">
        <v>46</v>
      </c>
      <c r="I678" s="7">
        <v>-14889.74</v>
      </c>
    </row>
    <row r="679" spans="1:10" x14ac:dyDescent="0.3">
      <c r="A679" s="3">
        <v>45827</v>
      </c>
      <c r="B679" s="5">
        <v>6</v>
      </c>
      <c r="C679" s="5">
        <v>2025</v>
      </c>
      <c r="D679" s="5">
        <v>2</v>
      </c>
      <c r="E679" t="s">
        <v>19</v>
      </c>
      <c r="F679" t="s">
        <v>10</v>
      </c>
      <c r="G679" t="s">
        <v>74</v>
      </c>
      <c r="H679" t="s">
        <v>77</v>
      </c>
      <c r="I679" s="7">
        <v>22101.73</v>
      </c>
      <c r="J679" s="7">
        <v>21867.919999999998</v>
      </c>
    </row>
    <row r="680" spans="1:10" x14ac:dyDescent="0.3">
      <c r="A680" s="3">
        <v>45827</v>
      </c>
      <c r="B680" s="5">
        <v>6</v>
      </c>
      <c r="C680" s="5">
        <v>2025</v>
      </c>
      <c r="D680" s="5">
        <v>2</v>
      </c>
      <c r="E680" t="s">
        <v>22</v>
      </c>
      <c r="F680" t="s">
        <v>10</v>
      </c>
      <c r="G680" t="s">
        <v>74</v>
      </c>
      <c r="H680" t="s">
        <v>79</v>
      </c>
      <c r="I680" s="7">
        <v>28558.27</v>
      </c>
      <c r="J680" s="7">
        <v>31325.13</v>
      </c>
    </row>
    <row r="681" spans="1:10" x14ac:dyDescent="0.3">
      <c r="A681" s="3">
        <v>45827</v>
      </c>
      <c r="B681" s="5">
        <v>6</v>
      </c>
      <c r="C681" s="5">
        <v>2025</v>
      </c>
      <c r="D681" s="5">
        <v>2</v>
      </c>
      <c r="E681" t="s">
        <v>31</v>
      </c>
      <c r="F681" t="s">
        <v>17</v>
      </c>
      <c r="G681" t="s">
        <v>74</v>
      </c>
      <c r="H681" t="s">
        <v>86</v>
      </c>
      <c r="I681" s="7">
        <v>-1887.02</v>
      </c>
    </row>
    <row r="682" spans="1:10" x14ac:dyDescent="0.3">
      <c r="A682" s="3">
        <v>45828</v>
      </c>
      <c r="B682" s="5">
        <v>6</v>
      </c>
      <c r="C682" s="5">
        <v>2025</v>
      </c>
      <c r="D682" s="5">
        <v>2</v>
      </c>
      <c r="E682" t="s">
        <v>19</v>
      </c>
      <c r="F682" t="s">
        <v>17</v>
      </c>
      <c r="G682" t="s">
        <v>57</v>
      </c>
      <c r="H682" t="s">
        <v>61</v>
      </c>
      <c r="I682" s="7">
        <v>-9255.1299999999992</v>
      </c>
    </row>
    <row r="683" spans="1:10" x14ac:dyDescent="0.3">
      <c r="A683" s="3">
        <v>45829</v>
      </c>
      <c r="B683" s="5">
        <v>6</v>
      </c>
      <c r="C683" s="5">
        <v>2025</v>
      </c>
      <c r="D683" s="5">
        <v>2</v>
      </c>
      <c r="E683" t="s">
        <v>28</v>
      </c>
      <c r="F683" t="s">
        <v>10</v>
      </c>
      <c r="G683" t="s">
        <v>74</v>
      </c>
      <c r="H683" t="s">
        <v>83</v>
      </c>
      <c r="I683" s="7">
        <v>17446.27</v>
      </c>
      <c r="J683" s="7">
        <v>16905.93</v>
      </c>
    </row>
    <row r="684" spans="1:10" x14ac:dyDescent="0.3">
      <c r="A684" s="3">
        <v>45830</v>
      </c>
      <c r="B684" s="5">
        <v>6</v>
      </c>
      <c r="C684" s="5">
        <v>2025</v>
      </c>
      <c r="D684" s="5">
        <v>2</v>
      </c>
      <c r="E684" t="s">
        <v>25</v>
      </c>
      <c r="F684" t="s">
        <v>17</v>
      </c>
      <c r="G684" t="s">
        <v>15</v>
      </c>
      <c r="H684" t="s">
        <v>27</v>
      </c>
      <c r="I684" s="7">
        <v>-4676.97</v>
      </c>
    </row>
    <row r="685" spans="1:10" x14ac:dyDescent="0.3">
      <c r="A685" s="3">
        <v>45830</v>
      </c>
      <c r="B685" s="5">
        <v>6</v>
      </c>
      <c r="C685" s="5">
        <v>2025</v>
      </c>
      <c r="D685" s="5">
        <v>2</v>
      </c>
      <c r="E685" t="s">
        <v>28</v>
      </c>
      <c r="F685" t="s">
        <v>17</v>
      </c>
      <c r="G685" t="s">
        <v>15</v>
      </c>
      <c r="H685" t="s">
        <v>30</v>
      </c>
      <c r="I685" s="7">
        <v>-29022.78</v>
      </c>
    </row>
    <row r="686" spans="1:10" x14ac:dyDescent="0.3">
      <c r="A686" s="3">
        <v>45830</v>
      </c>
      <c r="B686" s="5">
        <v>6</v>
      </c>
      <c r="C686" s="5">
        <v>2025</v>
      </c>
      <c r="D686" s="5">
        <v>2</v>
      </c>
      <c r="E686" t="s">
        <v>31</v>
      </c>
      <c r="F686" t="s">
        <v>17</v>
      </c>
      <c r="G686" t="s">
        <v>15</v>
      </c>
      <c r="H686" t="s">
        <v>33</v>
      </c>
      <c r="I686" s="7">
        <v>-7771.55</v>
      </c>
    </row>
    <row r="687" spans="1:10" x14ac:dyDescent="0.3">
      <c r="A687" s="3">
        <v>45830</v>
      </c>
      <c r="B687" s="5">
        <v>6</v>
      </c>
      <c r="C687" s="5">
        <v>2025</v>
      </c>
      <c r="D687" s="5">
        <v>2</v>
      </c>
      <c r="E687" t="s">
        <v>34</v>
      </c>
      <c r="F687" t="s">
        <v>17</v>
      </c>
      <c r="G687" t="s">
        <v>15</v>
      </c>
      <c r="H687" t="s">
        <v>36</v>
      </c>
      <c r="I687" s="7">
        <v>-15225.44</v>
      </c>
    </row>
    <row r="688" spans="1:10" x14ac:dyDescent="0.3">
      <c r="A688" s="3">
        <v>45830</v>
      </c>
      <c r="B688" s="5">
        <v>6</v>
      </c>
      <c r="C688" s="5">
        <v>2025</v>
      </c>
      <c r="D688" s="5">
        <v>2</v>
      </c>
      <c r="E688" t="s">
        <v>22</v>
      </c>
      <c r="F688" t="s">
        <v>10</v>
      </c>
      <c r="G688" t="s">
        <v>57</v>
      </c>
      <c r="H688" t="s">
        <v>62</v>
      </c>
      <c r="I688" s="7">
        <v>20575.580000000002</v>
      </c>
      <c r="J688" s="7">
        <v>20550.59</v>
      </c>
    </row>
    <row r="689" spans="1:10" x14ac:dyDescent="0.3">
      <c r="A689" s="3">
        <v>45830</v>
      </c>
      <c r="B689" s="5">
        <v>6</v>
      </c>
      <c r="C689" s="5">
        <v>2025</v>
      </c>
      <c r="D689" s="5">
        <v>2</v>
      </c>
      <c r="E689" t="s">
        <v>34</v>
      </c>
      <c r="F689" t="s">
        <v>10</v>
      </c>
      <c r="G689" t="s">
        <v>57</v>
      </c>
      <c r="H689" t="s">
        <v>70</v>
      </c>
      <c r="I689" s="7">
        <v>14060.72</v>
      </c>
      <c r="J689" s="7">
        <v>14029.96</v>
      </c>
    </row>
    <row r="690" spans="1:10" x14ac:dyDescent="0.3">
      <c r="A690" s="3">
        <v>45830</v>
      </c>
      <c r="B690" s="5">
        <v>6</v>
      </c>
      <c r="C690" s="5">
        <v>2025</v>
      </c>
      <c r="D690" s="5">
        <v>2</v>
      </c>
      <c r="E690" t="s">
        <v>34</v>
      </c>
      <c r="F690" t="s">
        <v>17</v>
      </c>
      <c r="G690" t="s">
        <v>57</v>
      </c>
      <c r="H690" t="s">
        <v>71</v>
      </c>
      <c r="I690" s="7">
        <v>-4868.76</v>
      </c>
    </row>
    <row r="691" spans="1:10" x14ac:dyDescent="0.3">
      <c r="A691" s="3">
        <v>45830</v>
      </c>
      <c r="B691" s="5">
        <v>6</v>
      </c>
      <c r="C691" s="5">
        <v>2025</v>
      </c>
      <c r="D691" s="5">
        <v>2</v>
      </c>
      <c r="E691" t="s">
        <v>25</v>
      </c>
      <c r="F691" t="s">
        <v>17</v>
      </c>
      <c r="G691" t="s">
        <v>74</v>
      </c>
      <c r="H691" t="s">
        <v>82</v>
      </c>
      <c r="I691" s="7">
        <v>-8309.86</v>
      </c>
    </row>
    <row r="692" spans="1:10" x14ac:dyDescent="0.3">
      <c r="A692" s="3">
        <v>45831</v>
      </c>
      <c r="B692" s="5">
        <v>6</v>
      </c>
      <c r="C692" s="5">
        <v>2025</v>
      </c>
      <c r="D692" s="5">
        <v>2</v>
      </c>
      <c r="E692" t="s">
        <v>25</v>
      </c>
      <c r="F692" t="s">
        <v>17</v>
      </c>
      <c r="G692" t="s">
        <v>57</v>
      </c>
      <c r="H692" t="s">
        <v>65</v>
      </c>
      <c r="I692" s="7">
        <v>-4757.1899999999996</v>
      </c>
    </row>
    <row r="693" spans="1:10" x14ac:dyDescent="0.3">
      <c r="A693" s="3">
        <v>45831</v>
      </c>
      <c r="B693" s="5">
        <v>6</v>
      </c>
      <c r="C693" s="5">
        <v>2025</v>
      </c>
      <c r="D693" s="5">
        <v>2</v>
      </c>
      <c r="E693" t="s">
        <v>28</v>
      </c>
      <c r="F693" t="s">
        <v>10</v>
      </c>
      <c r="G693" t="s">
        <v>57</v>
      </c>
      <c r="H693" t="s">
        <v>66</v>
      </c>
      <c r="I693" s="7">
        <v>18990.22</v>
      </c>
      <c r="J693" s="7">
        <v>19052.98</v>
      </c>
    </row>
    <row r="694" spans="1:10" x14ac:dyDescent="0.3">
      <c r="A694" s="3">
        <v>45831</v>
      </c>
      <c r="B694" s="5">
        <v>6</v>
      </c>
      <c r="C694" s="5">
        <v>2025</v>
      </c>
      <c r="D694" s="5">
        <v>2</v>
      </c>
      <c r="E694" t="s">
        <v>31</v>
      </c>
      <c r="F694" t="s">
        <v>10</v>
      </c>
      <c r="G694" t="s">
        <v>57</v>
      </c>
      <c r="H694" t="s">
        <v>68</v>
      </c>
      <c r="I694" s="7">
        <v>3914.47</v>
      </c>
      <c r="J694" s="7">
        <v>4208.74</v>
      </c>
    </row>
    <row r="695" spans="1:10" x14ac:dyDescent="0.3">
      <c r="A695" s="3">
        <v>45832</v>
      </c>
      <c r="B695" s="5">
        <v>6</v>
      </c>
      <c r="C695" s="5">
        <v>2025</v>
      </c>
      <c r="D695" s="5">
        <v>2</v>
      </c>
      <c r="E695" t="s">
        <v>19</v>
      </c>
      <c r="F695" t="s">
        <v>10</v>
      </c>
      <c r="G695" t="s">
        <v>15</v>
      </c>
      <c r="H695" t="s">
        <v>20</v>
      </c>
      <c r="I695" s="7">
        <v>28219.439999999999</v>
      </c>
      <c r="J695" s="7">
        <v>30664.67</v>
      </c>
    </row>
    <row r="696" spans="1:10" x14ac:dyDescent="0.3">
      <c r="A696" s="3">
        <v>45832</v>
      </c>
      <c r="B696" s="5">
        <v>6</v>
      </c>
      <c r="C696" s="5">
        <v>2025</v>
      </c>
      <c r="D696" s="5">
        <v>2</v>
      </c>
      <c r="E696" t="s">
        <v>37</v>
      </c>
      <c r="F696" t="s">
        <v>10</v>
      </c>
      <c r="G696" t="s">
        <v>40</v>
      </c>
      <c r="H696" t="s">
        <v>55</v>
      </c>
      <c r="I696" s="7">
        <v>6441.06</v>
      </c>
      <c r="J696" s="7">
        <v>6600.72</v>
      </c>
    </row>
    <row r="697" spans="1:10" x14ac:dyDescent="0.3">
      <c r="A697" s="3">
        <v>45833</v>
      </c>
      <c r="B697" s="5">
        <v>6</v>
      </c>
      <c r="C697" s="5">
        <v>2025</v>
      </c>
      <c r="D697" s="5">
        <v>2</v>
      </c>
      <c r="E697" t="s">
        <v>28</v>
      </c>
      <c r="F697" t="s">
        <v>10</v>
      </c>
      <c r="G697" t="s">
        <v>15</v>
      </c>
      <c r="H697" t="s">
        <v>29</v>
      </c>
      <c r="I697" s="7">
        <v>19669.84</v>
      </c>
      <c r="J697" s="7">
        <v>19776.77</v>
      </c>
    </row>
    <row r="698" spans="1:10" x14ac:dyDescent="0.3">
      <c r="A698" s="3">
        <v>45836</v>
      </c>
      <c r="B698" s="5">
        <v>6</v>
      </c>
      <c r="C698" s="5">
        <v>2025</v>
      </c>
      <c r="D698" s="5">
        <v>2</v>
      </c>
      <c r="E698" t="s">
        <v>19</v>
      </c>
      <c r="F698" t="s">
        <v>17</v>
      </c>
      <c r="G698" t="s">
        <v>15</v>
      </c>
      <c r="H698" t="s">
        <v>21</v>
      </c>
      <c r="I698" s="7">
        <v>-13549.7</v>
      </c>
    </row>
    <row r="699" spans="1:10" x14ac:dyDescent="0.3">
      <c r="A699" s="3">
        <v>45836</v>
      </c>
      <c r="B699" s="5">
        <v>6</v>
      </c>
      <c r="C699" s="5">
        <v>2025</v>
      </c>
      <c r="D699" s="5">
        <v>2</v>
      </c>
      <c r="E699" t="s">
        <v>22</v>
      </c>
      <c r="F699" t="s">
        <v>17</v>
      </c>
      <c r="G699" t="s">
        <v>15</v>
      </c>
      <c r="H699" t="s">
        <v>24</v>
      </c>
      <c r="I699" s="7">
        <v>-17374.62</v>
      </c>
    </row>
    <row r="700" spans="1:10" x14ac:dyDescent="0.3">
      <c r="A700" s="3">
        <v>45836</v>
      </c>
      <c r="B700" s="5">
        <v>6</v>
      </c>
      <c r="C700" s="5">
        <v>2025</v>
      </c>
      <c r="D700" s="5">
        <v>2</v>
      </c>
      <c r="E700" t="s">
        <v>19</v>
      </c>
      <c r="F700" t="s">
        <v>10</v>
      </c>
      <c r="G700" t="s">
        <v>40</v>
      </c>
      <c r="H700" t="s">
        <v>43</v>
      </c>
      <c r="I700" s="7">
        <v>19877.919999999998</v>
      </c>
      <c r="J700" s="7">
        <v>19480.830000000002</v>
      </c>
    </row>
    <row r="701" spans="1:10" x14ac:dyDescent="0.3">
      <c r="A701" s="3">
        <v>45836</v>
      </c>
      <c r="B701" s="5">
        <v>6</v>
      </c>
      <c r="C701" s="5">
        <v>2025</v>
      </c>
      <c r="D701" s="5">
        <v>2</v>
      </c>
      <c r="E701" t="s">
        <v>25</v>
      </c>
      <c r="F701" t="s">
        <v>17</v>
      </c>
      <c r="G701" t="s">
        <v>40</v>
      </c>
      <c r="H701" t="s">
        <v>48</v>
      </c>
      <c r="I701" s="7">
        <v>-3124.3</v>
      </c>
    </row>
    <row r="702" spans="1:10" x14ac:dyDescent="0.3">
      <c r="A702" s="3">
        <v>45836</v>
      </c>
      <c r="B702" s="5">
        <v>6</v>
      </c>
      <c r="C702" s="5">
        <v>2025</v>
      </c>
      <c r="D702" s="5">
        <v>2</v>
      </c>
      <c r="E702" t="s">
        <v>37</v>
      </c>
      <c r="F702" t="s">
        <v>10</v>
      </c>
      <c r="G702" t="s">
        <v>57</v>
      </c>
      <c r="H702" t="s">
        <v>72</v>
      </c>
      <c r="I702" s="7">
        <v>7413.41</v>
      </c>
      <c r="J702" s="7">
        <v>7490.2</v>
      </c>
    </row>
    <row r="703" spans="1:10" x14ac:dyDescent="0.3">
      <c r="A703" s="3">
        <v>45836</v>
      </c>
      <c r="B703" s="5">
        <v>6</v>
      </c>
      <c r="C703" s="5">
        <v>2025</v>
      </c>
      <c r="D703" s="5">
        <v>2</v>
      </c>
      <c r="E703" t="s">
        <v>25</v>
      </c>
      <c r="F703" t="s">
        <v>10</v>
      </c>
      <c r="G703" t="s">
        <v>74</v>
      </c>
      <c r="H703" t="s">
        <v>81</v>
      </c>
      <c r="I703" s="7">
        <v>10056.469999999999</v>
      </c>
      <c r="J703" s="7">
        <v>10721.74</v>
      </c>
    </row>
    <row r="704" spans="1:10" x14ac:dyDescent="0.3">
      <c r="A704" s="3">
        <v>45837</v>
      </c>
      <c r="B704" s="5">
        <v>6</v>
      </c>
      <c r="C704" s="5">
        <v>2025</v>
      </c>
      <c r="D704" s="5">
        <v>2</v>
      </c>
      <c r="E704" t="s">
        <v>34</v>
      </c>
      <c r="F704" t="s">
        <v>17</v>
      </c>
      <c r="G704" t="s">
        <v>74</v>
      </c>
      <c r="H704" t="s">
        <v>88</v>
      </c>
      <c r="I704" s="7">
        <v>-9242.84</v>
      </c>
    </row>
    <row r="705" spans="1:10" x14ac:dyDescent="0.3">
      <c r="A705" s="3">
        <v>45838</v>
      </c>
      <c r="B705" s="5">
        <v>6</v>
      </c>
      <c r="C705" s="5">
        <v>2025</v>
      </c>
      <c r="D705" s="5">
        <v>2</v>
      </c>
      <c r="E705" t="s">
        <v>28</v>
      </c>
      <c r="F705" t="s">
        <v>17</v>
      </c>
      <c r="G705" t="s">
        <v>40</v>
      </c>
      <c r="H705" t="s">
        <v>50</v>
      </c>
      <c r="I705" s="7">
        <v>-12736.27</v>
      </c>
    </row>
    <row r="706" spans="1:10" x14ac:dyDescent="0.3">
      <c r="A706" s="3">
        <v>45839</v>
      </c>
      <c r="B706" s="5">
        <v>7</v>
      </c>
      <c r="C706" s="5">
        <v>2025</v>
      </c>
      <c r="D706" s="5">
        <v>3</v>
      </c>
      <c r="E706" t="s">
        <v>31</v>
      </c>
      <c r="F706" t="s">
        <v>17</v>
      </c>
      <c r="G706" t="s">
        <v>15</v>
      </c>
      <c r="H706" t="s">
        <v>33</v>
      </c>
      <c r="I706" s="7">
        <v>-1298.6099999999999</v>
      </c>
    </row>
    <row r="707" spans="1:10" x14ac:dyDescent="0.3">
      <c r="A707" s="3">
        <v>45839</v>
      </c>
      <c r="B707" s="5">
        <v>7</v>
      </c>
      <c r="C707" s="5">
        <v>2025</v>
      </c>
      <c r="D707" s="5">
        <v>3</v>
      </c>
      <c r="E707" t="s">
        <v>37</v>
      </c>
      <c r="F707" t="s">
        <v>10</v>
      </c>
      <c r="G707" t="s">
        <v>15</v>
      </c>
      <c r="H707" t="s">
        <v>38</v>
      </c>
      <c r="I707" s="7">
        <v>6912.91</v>
      </c>
      <c r="J707" s="7">
        <v>7506.38</v>
      </c>
    </row>
    <row r="708" spans="1:10" x14ac:dyDescent="0.3">
      <c r="A708" s="3">
        <v>45839</v>
      </c>
      <c r="B708" s="5">
        <v>7</v>
      </c>
      <c r="C708" s="5">
        <v>2025</v>
      </c>
      <c r="D708" s="5">
        <v>3</v>
      </c>
      <c r="E708" t="s">
        <v>28</v>
      </c>
      <c r="F708" t="s">
        <v>10</v>
      </c>
      <c r="G708" t="s">
        <v>74</v>
      </c>
      <c r="H708" t="s">
        <v>83</v>
      </c>
      <c r="I708" s="7">
        <v>15008.31</v>
      </c>
      <c r="J708" s="7">
        <v>15014.92</v>
      </c>
    </row>
    <row r="709" spans="1:10" x14ac:dyDescent="0.3">
      <c r="A709" s="3">
        <v>45839</v>
      </c>
      <c r="B709" s="5">
        <v>7</v>
      </c>
      <c r="C709" s="5">
        <v>2025</v>
      </c>
      <c r="D709" s="5">
        <v>3</v>
      </c>
      <c r="E709" t="s">
        <v>34</v>
      </c>
      <c r="F709" t="s">
        <v>10</v>
      </c>
      <c r="G709" t="s">
        <v>74</v>
      </c>
      <c r="H709" t="s">
        <v>87</v>
      </c>
      <c r="I709" s="7">
        <v>11690.99</v>
      </c>
      <c r="J709" s="7">
        <v>11479.94</v>
      </c>
    </row>
    <row r="710" spans="1:10" x14ac:dyDescent="0.3">
      <c r="A710" s="3">
        <v>45841</v>
      </c>
      <c r="B710" s="5">
        <v>7</v>
      </c>
      <c r="C710" s="5">
        <v>2025</v>
      </c>
      <c r="D710" s="5">
        <v>3</v>
      </c>
      <c r="E710" t="s">
        <v>19</v>
      </c>
      <c r="F710" t="s">
        <v>17</v>
      </c>
      <c r="G710" t="s">
        <v>40</v>
      </c>
      <c r="H710" t="s">
        <v>44</v>
      </c>
      <c r="I710" s="7">
        <v>-24040.880000000001</v>
      </c>
    </row>
    <row r="711" spans="1:10" x14ac:dyDescent="0.3">
      <c r="A711" s="3">
        <v>45841</v>
      </c>
      <c r="B711" s="5">
        <v>7</v>
      </c>
      <c r="C711" s="5">
        <v>2025</v>
      </c>
      <c r="D711" s="5">
        <v>3</v>
      </c>
      <c r="E711" t="s">
        <v>22</v>
      </c>
      <c r="F711" t="s">
        <v>17</v>
      </c>
      <c r="G711" t="s">
        <v>74</v>
      </c>
      <c r="H711" t="s">
        <v>80</v>
      </c>
      <c r="I711" s="7">
        <v>-30716.39</v>
      </c>
    </row>
    <row r="712" spans="1:10" x14ac:dyDescent="0.3">
      <c r="A712" s="3">
        <v>45842</v>
      </c>
      <c r="B712" s="5">
        <v>7</v>
      </c>
      <c r="C712" s="5">
        <v>2025</v>
      </c>
      <c r="D712" s="5">
        <v>3</v>
      </c>
      <c r="E712" t="s">
        <v>28</v>
      </c>
      <c r="F712" t="s">
        <v>17</v>
      </c>
      <c r="G712" t="s">
        <v>74</v>
      </c>
      <c r="H712" t="s">
        <v>84</v>
      </c>
      <c r="I712" s="7">
        <v>-16507.93</v>
      </c>
    </row>
    <row r="713" spans="1:10" x14ac:dyDescent="0.3">
      <c r="A713" s="3">
        <v>45843</v>
      </c>
      <c r="B713" s="5">
        <v>7</v>
      </c>
      <c r="C713" s="5">
        <v>2025</v>
      </c>
      <c r="D713" s="5">
        <v>3</v>
      </c>
      <c r="E713" t="s">
        <v>34</v>
      </c>
      <c r="F713" t="s">
        <v>17</v>
      </c>
      <c r="G713" t="s">
        <v>40</v>
      </c>
      <c r="H713" t="s">
        <v>54</v>
      </c>
      <c r="I713" s="7">
        <v>-9451.23</v>
      </c>
    </row>
    <row r="714" spans="1:10" x14ac:dyDescent="0.3">
      <c r="A714" s="3">
        <v>45843</v>
      </c>
      <c r="B714" s="5">
        <v>7</v>
      </c>
      <c r="C714" s="5">
        <v>2025</v>
      </c>
      <c r="D714" s="5">
        <v>3</v>
      </c>
      <c r="E714" t="s">
        <v>14</v>
      </c>
      <c r="F714" t="s">
        <v>17</v>
      </c>
      <c r="G714" t="s">
        <v>57</v>
      </c>
      <c r="H714" t="s">
        <v>59</v>
      </c>
      <c r="I714" s="7">
        <v>-45663.41</v>
      </c>
    </row>
    <row r="715" spans="1:10" x14ac:dyDescent="0.3">
      <c r="A715" s="3">
        <v>45843</v>
      </c>
      <c r="B715" s="5">
        <v>7</v>
      </c>
      <c r="C715" s="5">
        <v>2025</v>
      </c>
      <c r="D715" s="5">
        <v>3</v>
      </c>
      <c r="E715" t="s">
        <v>31</v>
      </c>
      <c r="F715" t="s">
        <v>10</v>
      </c>
      <c r="G715" t="s">
        <v>57</v>
      </c>
      <c r="H715" t="s">
        <v>68</v>
      </c>
      <c r="I715" s="7">
        <v>4252.29</v>
      </c>
      <c r="J715" s="7">
        <v>4618.12</v>
      </c>
    </row>
    <row r="716" spans="1:10" x14ac:dyDescent="0.3">
      <c r="A716" s="3">
        <v>45844</v>
      </c>
      <c r="B716" s="5">
        <v>7</v>
      </c>
      <c r="C716" s="5">
        <v>2025</v>
      </c>
      <c r="D716" s="5">
        <v>3</v>
      </c>
      <c r="E716" t="s">
        <v>14</v>
      </c>
      <c r="F716" t="s">
        <v>17</v>
      </c>
      <c r="G716" t="s">
        <v>40</v>
      </c>
      <c r="H716" t="s">
        <v>42</v>
      </c>
      <c r="I716" s="7">
        <v>-36028.03</v>
      </c>
    </row>
    <row r="717" spans="1:10" x14ac:dyDescent="0.3">
      <c r="A717" s="3">
        <v>45844</v>
      </c>
      <c r="B717" s="5">
        <v>7</v>
      </c>
      <c r="C717" s="5">
        <v>2025</v>
      </c>
      <c r="D717" s="5">
        <v>3</v>
      </c>
      <c r="E717" t="s">
        <v>25</v>
      </c>
      <c r="F717" t="s">
        <v>17</v>
      </c>
      <c r="G717" t="s">
        <v>40</v>
      </c>
      <c r="H717" t="s">
        <v>48</v>
      </c>
      <c r="I717" s="7">
        <v>-14568.37</v>
      </c>
    </row>
    <row r="718" spans="1:10" x14ac:dyDescent="0.3">
      <c r="A718" s="3">
        <v>45844</v>
      </c>
      <c r="B718" s="5">
        <v>7</v>
      </c>
      <c r="C718" s="5">
        <v>2025</v>
      </c>
      <c r="D718" s="5">
        <v>3</v>
      </c>
      <c r="E718" t="s">
        <v>25</v>
      </c>
      <c r="F718" t="s">
        <v>17</v>
      </c>
      <c r="G718" t="s">
        <v>57</v>
      </c>
      <c r="H718" t="s">
        <v>65</v>
      </c>
      <c r="I718" s="7">
        <v>-4494.21</v>
      </c>
    </row>
    <row r="719" spans="1:10" x14ac:dyDescent="0.3">
      <c r="A719" s="3">
        <v>45844</v>
      </c>
      <c r="B719" s="5">
        <v>7</v>
      </c>
      <c r="C719" s="5">
        <v>2025</v>
      </c>
      <c r="D719" s="5">
        <v>3</v>
      </c>
      <c r="E719" t="s">
        <v>19</v>
      </c>
      <c r="F719" t="s">
        <v>10</v>
      </c>
      <c r="G719" t="s">
        <v>74</v>
      </c>
      <c r="H719" t="s">
        <v>77</v>
      </c>
      <c r="I719" s="7">
        <v>18863.7</v>
      </c>
      <c r="J719" s="7">
        <v>18651.11</v>
      </c>
    </row>
    <row r="720" spans="1:10" x14ac:dyDescent="0.3">
      <c r="A720" s="3">
        <v>45844</v>
      </c>
      <c r="B720" s="5">
        <v>7</v>
      </c>
      <c r="C720" s="5">
        <v>2025</v>
      </c>
      <c r="D720" s="5">
        <v>3</v>
      </c>
      <c r="E720" t="s">
        <v>19</v>
      </c>
      <c r="F720" t="s">
        <v>17</v>
      </c>
      <c r="G720" t="s">
        <v>74</v>
      </c>
      <c r="H720" t="s">
        <v>78</v>
      </c>
      <c r="I720" s="7">
        <v>-8048.02</v>
      </c>
    </row>
    <row r="721" spans="1:10" x14ac:dyDescent="0.3">
      <c r="A721" s="3">
        <v>45844</v>
      </c>
      <c r="B721" s="5">
        <v>7</v>
      </c>
      <c r="C721" s="5">
        <v>2025</v>
      </c>
      <c r="D721" s="5">
        <v>3</v>
      </c>
      <c r="E721" t="s">
        <v>25</v>
      </c>
      <c r="F721" t="s">
        <v>17</v>
      </c>
      <c r="G721" t="s">
        <v>74</v>
      </c>
      <c r="H721" t="s">
        <v>82</v>
      </c>
      <c r="I721" s="7">
        <v>-2735.26</v>
      </c>
    </row>
    <row r="722" spans="1:10" x14ac:dyDescent="0.3">
      <c r="A722" s="3">
        <v>45846</v>
      </c>
      <c r="B722" s="5">
        <v>7</v>
      </c>
      <c r="C722" s="5">
        <v>2025</v>
      </c>
      <c r="D722" s="5">
        <v>3</v>
      </c>
      <c r="E722" t="s">
        <v>28</v>
      </c>
      <c r="F722" t="s">
        <v>10</v>
      </c>
      <c r="G722" t="s">
        <v>15</v>
      </c>
      <c r="H722" t="s">
        <v>29</v>
      </c>
      <c r="I722" s="7">
        <v>20893.37</v>
      </c>
      <c r="J722" s="7">
        <v>20813.95</v>
      </c>
    </row>
    <row r="723" spans="1:10" x14ac:dyDescent="0.3">
      <c r="A723" s="3">
        <v>45846</v>
      </c>
      <c r="B723" s="5">
        <v>7</v>
      </c>
      <c r="C723" s="5">
        <v>2025</v>
      </c>
      <c r="D723" s="5">
        <v>3</v>
      </c>
      <c r="E723" t="s">
        <v>14</v>
      </c>
      <c r="F723" t="s">
        <v>17</v>
      </c>
      <c r="G723" t="s">
        <v>74</v>
      </c>
      <c r="H723" t="s">
        <v>76</v>
      </c>
      <c r="I723" s="7">
        <v>-41840.43</v>
      </c>
    </row>
    <row r="724" spans="1:10" x14ac:dyDescent="0.3">
      <c r="A724" s="3">
        <v>45847</v>
      </c>
      <c r="B724" s="5">
        <v>7</v>
      </c>
      <c r="C724" s="5">
        <v>2025</v>
      </c>
      <c r="D724" s="5">
        <v>3</v>
      </c>
      <c r="E724" t="s">
        <v>25</v>
      </c>
      <c r="F724" t="s">
        <v>17</v>
      </c>
      <c r="G724" t="s">
        <v>15</v>
      </c>
      <c r="H724" t="s">
        <v>27</v>
      </c>
      <c r="I724" s="7">
        <v>-5205.49</v>
      </c>
    </row>
    <row r="725" spans="1:10" x14ac:dyDescent="0.3">
      <c r="A725" s="3">
        <v>45847</v>
      </c>
      <c r="B725" s="5">
        <v>7</v>
      </c>
      <c r="C725" s="5">
        <v>2025</v>
      </c>
      <c r="D725" s="5">
        <v>3</v>
      </c>
      <c r="E725" t="s">
        <v>22</v>
      </c>
      <c r="F725" t="s">
        <v>17</v>
      </c>
      <c r="G725" t="s">
        <v>40</v>
      </c>
      <c r="H725" t="s">
        <v>46</v>
      </c>
      <c r="I725" s="7">
        <v>-14057.02</v>
      </c>
    </row>
    <row r="726" spans="1:10" x14ac:dyDescent="0.3">
      <c r="A726" s="3">
        <v>45847</v>
      </c>
      <c r="B726" s="5">
        <v>7</v>
      </c>
      <c r="C726" s="5">
        <v>2025</v>
      </c>
      <c r="D726" s="5">
        <v>3</v>
      </c>
      <c r="E726" t="s">
        <v>14</v>
      </c>
      <c r="F726" t="s">
        <v>10</v>
      </c>
      <c r="G726" t="s">
        <v>74</v>
      </c>
      <c r="H726" t="s">
        <v>75</v>
      </c>
      <c r="I726" s="7">
        <v>32490.45</v>
      </c>
      <c r="J726" s="7">
        <v>35243.550000000003</v>
      </c>
    </row>
    <row r="727" spans="1:10" x14ac:dyDescent="0.3">
      <c r="A727" s="3">
        <v>45848</v>
      </c>
      <c r="B727" s="5">
        <v>7</v>
      </c>
      <c r="C727" s="5">
        <v>2025</v>
      </c>
      <c r="D727" s="5">
        <v>3</v>
      </c>
      <c r="E727" t="s">
        <v>25</v>
      </c>
      <c r="F727" t="s">
        <v>10</v>
      </c>
      <c r="G727" t="s">
        <v>15</v>
      </c>
      <c r="H727" t="s">
        <v>26</v>
      </c>
      <c r="I727" s="7">
        <v>9403.74</v>
      </c>
      <c r="J727" s="7">
        <v>9159.67</v>
      </c>
    </row>
    <row r="728" spans="1:10" x14ac:dyDescent="0.3">
      <c r="A728" s="3">
        <v>45849</v>
      </c>
      <c r="B728" s="5">
        <v>7</v>
      </c>
      <c r="C728" s="5">
        <v>2025</v>
      </c>
      <c r="D728" s="5">
        <v>3</v>
      </c>
      <c r="E728" t="s">
        <v>14</v>
      </c>
      <c r="F728" t="s">
        <v>10</v>
      </c>
      <c r="G728" t="s">
        <v>57</v>
      </c>
      <c r="H728" t="s">
        <v>58</v>
      </c>
      <c r="I728" s="7">
        <v>30095.05</v>
      </c>
      <c r="J728" s="7">
        <v>29484.06</v>
      </c>
    </row>
    <row r="729" spans="1:10" x14ac:dyDescent="0.3">
      <c r="A729" s="3">
        <v>45849</v>
      </c>
      <c r="B729" s="5">
        <v>7</v>
      </c>
      <c r="C729" s="5">
        <v>2025</v>
      </c>
      <c r="D729" s="5">
        <v>3</v>
      </c>
      <c r="E729" t="s">
        <v>34</v>
      </c>
      <c r="F729" t="s">
        <v>17</v>
      </c>
      <c r="G729" t="s">
        <v>57</v>
      </c>
      <c r="H729" t="s">
        <v>71</v>
      </c>
      <c r="I729" s="7">
        <v>-15525.44</v>
      </c>
    </row>
    <row r="730" spans="1:10" x14ac:dyDescent="0.3">
      <c r="A730" s="3">
        <v>45850</v>
      </c>
      <c r="B730" s="5">
        <v>7</v>
      </c>
      <c r="C730" s="5">
        <v>2025</v>
      </c>
      <c r="D730" s="5">
        <v>3</v>
      </c>
      <c r="E730" t="s">
        <v>28</v>
      </c>
      <c r="F730" t="s">
        <v>17</v>
      </c>
      <c r="G730" t="s">
        <v>15</v>
      </c>
      <c r="H730" t="s">
        <v>30</v>
      </c>
      <c r="I730" s="7">
        <v>-25749.69</v>
      </c>
    </row>
    <row r="731" spans="1:10" x14ac:dyDescent="0.3">
      <c r="A731" s="3">
        <v>45850</v>
      </c>
      <c r="B731" s="5">
        <v>7</v>
      </c>
      <c r="C731" s="5">
        <v>2025</v>
      </c>
      <c r="D731" s="5">
        <v>3</v>
      </c>
      <c r="E731" t="s">
        <v>19</v>
      </c>
      <c r="F731" t="s">
        <v>10</v>
      </c>
      <c r="G731" t="s">
        <v>40</v>
      </c>
      <c r="H731" t="s">
        <v>43</v>
      </c>
      <c r="I731" s="7">
        <v>19711.900000000001</v>
      </c>
      <c r="J731" s="7">
        <v>21563.57</v>
      </c>
    </row>
    <row r="732" spans="1:10" x14ac:dyDescent="0.3">
      <c r="A732" s="3">
        <v>45851</v>
      </c>
      <c r="B732" s="5">
        <v>7</v>
      </c>
      <c r="C732" s="5">
        <v>2025</v>
      </c>
      <c r="D732" s="5">
        <v>3</v>
      </c>
      <c r="E732" t="s">
        <v>34</v>
      </c>
      <c r="F732" t="s">
        <v>10</v>
      </c>
      <c r="G732" t="s">
        <v>15</v>
      </c>
      <c r="H732" t="s">
        <v>35</v>
      </c>
      <c r="I732" s="7">
        <v>12868.33</v>
      </c>
      <c r="J732" s="7">
        <v>13701.96</v>
      </c>
    </row>
    <row r="733" spans="1:10" x14ac:dyDescent="0.3">
      <c r="A733" s="3">
        <v>45851</v>
      </c>
      <c r="B733" s="5">
        <v>7</v>
      </c>
      <c r="C733" s="5">
        <v>2025</v>
      </c>
      <c r="D733" s="5">
        <v>3</v>
      </c>
      <c r="E733" t="s">
        <v>28</v>
      </c>
      <c r="F733" t="s">
        <v>10</v>
      </c>
      <c r="G733" t="s">
        <v>40</v>
      </c>
      <c r="H733" t="s">
        <v>49</v>
      </c>
      <c r="I733" s="7">
        <v>19230.060000000001</v>
      </c>
      <c r="J733" s="7">
        <v>20043.98</v>
      </c>
    </row>
    <row r="734" spans="1:10" x14ac:dyDescent="0.3">
      <c r="A734" s="3">
        <v>45851</v>
      </c>
      <c r="B734" s="5">
        <v>7</v>
      </c>
      <c r="C734" s="5">
        <v>2025</v>
      </c>
      <c r="D734" s="5">
        <v>3</v>
      </c>
      <c r="E734" t="s">
        <v>37</v>
      </c>
      <c r="F734" t="s">
        <v>10</v>
      </c>
      <c r="G734" t="s">
        <v>40</v>
      </c>
      <c r="H734" t="s">
        <v>55</v>
      </c>
      <c r="I734" s="7">
        <v>5768.41</v>
      </c>
      <c r="J734" s="7">
        <v>5528</v>
      </c>
    </row>
    <row r="735" spans="1:10" x14ac:dyDescent="0.3">
      <c r="A735" s="3">
        <v>45852</v>
      </c>
      <c r="B735" s="5">
        <v>7</v>
      </c>
      <c r="C735" s="5">
        <v>2025</v>
      </c>
      <c r="D735" s="5">
        <v>3</v>
      </c>
      <c r="E735" t="s">
        <v>19</v>
      </c>
      <c r="F735" t="s">
        <v>17</v>
      </c>
      <c r="G735" t="s">
        <v>15</v>
      </c>
      <c r="H735" t="s">
        <v>21</v>
      </c>
      <c r="I735" s="7">
        <v>-14809.39</v>
      </c>
    </row>
    <row r="736" spans="1:10" x14ac:dyDescent="0.3">
      <c r="A736" s="3">
        <v>45852</v>
      </c>
      <c r="B736" s="5">
        <v>7</v>
      </c>
      <c r="C736" s="5">
        <v>2025</v>
      </c>
      <c r="D736" s="5">
        <v>3</v>
      </c>
      <c r="E736" t="s">
        <v>22</v>
      </c>
      <c r="F736" t="s">
        <v>10</v>
      </c>
      <c r="G736" t="s">
        <v>15</v>
      </c>
      <c r="H736" t="s">
        <v>23</v>
      </c>
      <c r="I736" s="7">
        <v>32969.01</v>
      </c>
      <c r="J736" s="7">
        <v>33885.01</v>
      </c>
    </row>
    <row r="737" spans="1:10" x14ac:dyDescent="0.3">
      <c r="A737" s="3">
        <v>45852</v>
      </c>
      <c r="B737" s="5">
        <v>7</v>
      </c>
      <c r="C737" s="5">
        <v>2025</v>
      </c>
      <c r="D737" s="5">
        <v>3</v>
      </c>
      <c r="E737" t="s">
        <v>22</v>
      </c>
      <c r="F737" t="s">
        <v>10</v>
      </c>
      <c r="G737" t="s">
        <v>74</v>
      </c>
      <c r="H737" t="s">
        <v>79</v>
      </c>
      <c r="I737" s="7">
        <v>24639.86</v>
      </c>
      <c r="J737" s="7">
        <v>26200.76</v>
      </c>
    </row>
    <row r="738" spans="1:10" x14ac:dyDescent="0.3">
      <c r="A738" s="3">
        <v>45852</v>
      </c>
      <c r="B738" s="5">
        <v>7</v>
      </c>
      <c r="C738" s="5">
        <v>2025</v>
      </c>
      <c r="D738" s="5">
        <v>3</v>
      </c>
      <c r="E738" t="s">
        <v>25</v>
      </c>
      <c r="F738" t="s">
        <v>10</v>
      </c>
      <c r="G738" t="s">
        <v>74</v>
      </c>
      <c r="H738" t="s">
        <v>81</v>
      </c>
      <c r="I738" s="7">
        <v>7057.19</v>
      </c>
      <c r="J738" s="7">
        <v>7159.73</v>
      </c>
    </row>
    <row r="739" spans="1:10" x14ac:dyDescent="0.3">
      <c r="A739" s="3">
        <v>45852</v>
      </c>
      <c r="B739" s="5">
        <v>7</v>
      </c>
      <c r="C739" s="5">
        <v>2025</v>
      </c>
      <c r="D739" s="5">
        <v>3</v>
      </c>
      <c r="E739" t="s">
        <v>37</v>
      </c>
      <c r="F739" t="s">
        <v>17</v>
      </c>
      <c r="G739" t="s">
        <v>74</v>
      </c>
      <c r="H739" t="s">
        <v>90</v>
      </c>
      <c r="I739" s="7">
        <v>-3955.89</v>
      </c>
    </row>
    <row r="740" spans="1:10" x14ac:dyDescent="0.3">
      <c r="A740" s="3">
        <v>45853</v>
      </c>
      <c r="B740" s="5">
        <v>7</v>
      </c>
      <c r="C740" s="5">
        <v>2025</v>
      </c>
      <c r="D740" s="5">
        <v>3</v>
      </c>
      <c r="E740" t="s">
        <v>25</v>
      </c>
      <c r="F740" t="s">
        <v>10</v>
      </c>
      <c r="G740" t="s">
        <v>40</v>
      </c>
      <c r="H740" t="s">
        <v>47</v>
      </c>
      <c r="I740" s="7">
        <v>10504.34</v>
      </c>
      <c r="J740" s="7">
        <v>10411.06</v>
      </c>
    </row>
    <row r="741" spans="1:10" x14ac:dyDescent="0.3">
      <c r="A741" s="3">
        <v>45853</v>
      </c>
      <c r="B741" s="5">
        <v>7</v>
      </c>
      <c r="C741" s="5">
        <v>2025</v>
      </c>
      <c r="D741" s="5">
        <v>3</v>
      </c>
      <c r="E741" t="s">
        <v>31</v>
      </c>
      <c r="F741" t="s">
        <v>10</v>
      </c>
      <c r="G741" t="s">
        <v>40</v>
      </c>
      <c r="H741" t="s">
        <v>51</v>
      </c>
      <c r="I741" s="7">
        <v>5138.29</v>
      </c>
      <c r="J741" s="7">
        <v>4848.72</v>
      </c>
    </row>
    <row r="742" spans="1:10" x14ac:dyDescent="0.3">
      <c r="A742" s="3">
        <v>45853</v>
      </c>
      <c r="B742" s="5">
        <v>7</v>
      </c>
      <c r="C742" s="5">
        <v>2025</v>
      </c>
      <c r="D742" s="5">
        <v>3</v>
      </c>
      <c r="E742" t="s">
        <v>37</v>
      </c>
      <c r="F742" t="s">
        <v>17</v>
      </c>
      <c r="G742" t="s">
        <v>57</v>
      </c>
      <c r="H742" t="s">
        <v>73</v>
      </c>
      <c r="I742" s="7">
        <v>-2798.46</v>
      </c>
    </row>
    <row r="743" spans="1:10" x14ac:dyDescent="0.3">
      <c r="A743" s="3">
        <v>45854</v>
      </c>
      <c r="B743" s="5">
        <v>7</v>
      </c>
      <c r="C743" s="5">
        <v>2025</v>
      </c>
      <c r="D743" s="5">
        <v>3</v>
      </c>
      <c r="E743" t="s">
        <v>37</v>
      </c>
      <c r="F743" t="s">
        <v>17</v>
      </c>
      <c r="G743" t="s">
        <v>15</v>
      </c>
      <c r="H743" t="s">
        <v>39</v>
      </c>
      <c r="I743" s="7">
        <v>-9341.7000000000007</v>
      </c>
    </row>
    <row r="744" spans="1:10" x14ac:dyDescent="0.3">
      <c r="A744" s="3">
        <v>45855</v>
      </c>
      <c r="B744" s="5">
        <v>7</v>
      </c>
      <c r="C744" s="5">
        <v>2025</v>
      </c>
      <c r="D744" s="5">
        <v>3</v>
      </c>
      <c r="E744" t="s">
        <v>31</v>
      </c>
      <c r="F744" t="s">
        <v>10</v>
      </c>
      <c r="G744" t="s">
        <v>15</v>
      </c>
      <c r="H744" t="s">
        <v>32</v>
      </c>
      <c r="I744" s="7">
        <v>4384.3500000000004</v>
      </c>
      <c r="J744" s="7">
        <v>4219.41</v>
      </c>
    </row>
    <row r="745" spans="1:10" x14ac:dyDescent="0.3">
      <c r="A745" s="3">
        <v>45855</v>
      </c>
      <c r="B745" s="5">
        <v>7</v>
      </c>
      <c r="C745" s="5">
        <v>2025</v>
      </c>
      <c r="D745" s="5">
        <v>3</v>
      </c>
      <c r="E745" t="s">
        <v>19</v>
      </c>
      <c r="F745" t="s">
        <v>10</v>
      </c>
      <c r="G745" t="s">
        <v>57</v>
      </c>
      <c r="H745" t="s">
        <v>60</v>
      </c>
      <c r="I745" s="7">
        <v>19644.16</v>
      </c>
      <c r="J745" s="7">
        <v>20961.36</v>
      </c>
    </row>
    <row r="746" spans="1:10" x14ac:dyDescent="0.3">
      <c r="A746" s="3">
        <v>45855</v>
      </c>
      <c r="B746" s="5">
        <v>7</v>
      </c>
      <c r="C746" s="5">
        <v>2025</v>
      </c>
      <c r="D746" s="5">
        <v>3</v>
      </c>
      <c r="E746" t="s">
        <v>19</v>
      </c>
      <c r="F746" t="s">
        <v>17</v>
      </c>
      <c r="G746" t="s">
        <v>57</v>
      </c>
      <c r="H746" t="s">
        <v>61</v>
      </c>
      <c r="I746" s="7">
        <v>-7567.69</v>
      </c>
    </row>
    <row r="747" spans="1:10" x14ac:dyDescent="0.3">
      <c r="A747" s="3">
        <v>45856</v>
      </c>
      <c r="B747" s="5">
        <v>7</v>
      </c>
      <c r="C747" s="5">
        <v>2025</v>
      </c>
      <c r="D747" s="5">
        <v>3</v>
      </c>
      <c r="E747" t="s">
        <v>31</v>
      </c>
      <c r="F747" t="s">
        <v>17</v>
      </c>
      <c r="G747" t="s">
        <v>40</v>
      </c>
      <c r="H747" t="s">
        <v>52</v>
      </c>
      <c r="I747" s="7">
        <v>-5857.25</v>
      </c>
    </row>
    <row r="748" spans="1:10" x14ac:dyDescent="0.3">
      <c r="A748" s="3">
        <v>45857</v>
      </c>
      <c r="B748" s="5">
        <v>7</v>
      </c>
      <c r="C748" s="5">
        <v>2025</v>
      </c>
      <c r="D748" s="5">
        <v>3</v>
      </c>
      <c r="E748" t="s">
        <v>22</v>
      </c>
      <c r="F748" t="s">
        <v>10</v>
      </c>
      <c r="G748" t="s">
        <v>40</v>
      </c>
      <c r="H748" t="s">
        <v>45</v>
      </c>
      <c r="I748" s="7">
        <v>30876.68</v>
      </c>
      <c r="J748" s="7">
        <v>30440.06</v>
      </c>
    </row>
    <row r="749" spans="1:10" x14ac:dyDescent="0.3">
      <c r="A749" s="3">
        <v>45857</v>
      </c>
      <c r="B749" s="5">
        <v>7</v>
      </c>
      <c r="C749" s="5">
        <v>2025</v>
      </c>
      <c r="D749" s="5">
        <v>3</v>
      </c>
      <c r="E749" t="s">
        <v>37</v>
      </c>
      <c r="F749" t="s">
        <v>10</v>
      </c>
      <c r="G749" t="s">
        <v>74</v>
      </c>
      <c r="H749" t="s">
        <v>89</v>
      </c>
      <c r="I749" s="7">
        <v>4932.8</v>
      </c>
      <c r="J749" s="7">
        <v>5352.21</v>
      </c>
    </row>
    <row r="750" spans="1:10" x14ac:dyDescent="0.3">
      <c r="A750" s="3">
        <v>45858</v>
      </c>
      <c r="B750" s="5">
        <v>7</v>
      </c>
      <c r="C750" s="5">
        <v>2025</v>
      </c>
      <c r="D750" s="5">
        <v>3</v>
      </c>
      <c r="E750" t="s">
        <v>34</v>
      </c>
      <c r="F750" t="s">
        <v>17</v>
      </c>
      <c r="G750" t="s">
        <v>15</v>
      </c>
      <c r="H750" t="s">
        <v>36</v>
      </c>
      <c r="I750" s="7">
        <v>-8192.06</v>
      </c>
    </row>
    <row r="751" spans="1:10" x14ac:dyDescent="0.3">
      <c r="A751" s="3">
        <v>45858</v>
      </c>
      <c r="B751" s="5">
        <v>7</v>
      </c>
      <c r="C751" s="5">
        <v>2025</v>
      </c>
      <c r="D751" s="5">
        <v>3</v>
      </c>
      <c r="E751" t="s">
        <v>25</v>
      </c>
      <c r="F751" t="s">
        <v>10</v>
      </c>
      <c r="G751" t="s">
        <v>57</v>
      </c>
      <c r="H751" t="s">
        <v>64</v>
      </c>
      <c r="I751" s="7">
        <v>7420.53</v>
      </c>
      <c r="J751" s="7">
        <v>7068.38</v>
      </c>
    </row>
    <row r="752" spans="1:10" x14ac:dyDescent="0.3">
      <c r="A752" s="3">
        <v>45858</v>
      </c>
      <c r="B752" s="5">
        <v>7</v>
      </c>
      <c r="C752" s="5">
        <v>2025</v>
      </c>
      <c r="D752" s="5">
        <v>3</v>
      </c>
      <c r="E752" t="s">
        <v>31</v>
      </c>
      <c r="F752" t="s">
        <v>17</v>
      </c>
      <c r="G752" t="s">
        <v>57</v>
      </c>
      <c r="H752" t="s">
        <v>69</v>
      </c>
      <c r="I752" s="7">
        <v>-2142.31</v>
      </c>
    </row>
    <row r="753" spans="1:10" x14ac:dyDescent="0.3">
      <c r="A753" s="3">
        <v>45859</v>
      </c>
      <c r="B753" s="5">
        <v>7</v>
      </c>
      <c r="C753" s="5">
        <v>2025</v>
      </c>
      <c r="D753" s="5">
        <v>3</v>
      </c>
      <c r="E753" t="s">
        <v>14</v>
      </c>
      <c r="F753" t="s">
        <v>10</v>
      </c>
      <c r="G753" t="s">
        <v>15</v>
      </c>
      <c r="H753" t="s">
        <v>16</v>
      </c>
      <c r="I753" s="7">
        <v>30189.47</v>
      </c>
      <c r="J753" s="7">
        <v>31739.15</v>
      </c>
    </row>
    <row r="754" spans="1:10" x14ac:dyDescent="0.3">
      <c r="A754" s="3">
        <v>45859</v>
      </c>
      <c r="B754" s="5">
        <v>7</v>
      </c>
      <c r="C754" s="5">
        <v>2025</v>
      </c>
      <c r="D754" s="5">
        <v>3</v>
      </c>
      <c r="E754" t="s">
        <v>37</v>
      </c>
      <c r="F754" t="s">
        <v>10</v>
      </c>
      <c r="G754" t="s">
        <v>57</v>
      </c>
      <c r="H754" t="s">
        <v>72</v>
      </c>
      <c r="I754" s="7">
        <v>7090.09</v>
      </c>
      <c r="J754" s="7">
        <v>7522.68</v>
      </c>
    </row>
    <row r="755" spans="1:10" x14ac:dyDescent="0.3">
      <c r="A755" s="3">
        <v>45859</v>
      </c>
      <c r="B755" s="5">
        <v>7</v>
      </c>
      <c r="C755" s="5">
        <v>2025</v>
      </c>
      <c r="D755" s="5">
        <v>3</v>
      </c>
      <c r="E755" t="s">
        <v>31</v>
      </c>
      <c r="F755" t="s">
        <v>10</v>
      </c>
      <c r="G755" t="s">
        <v>74</v>
      </c>
      <c r="H755" t="s">
        <v>85</v>
      </c>
      <c r="I755" s="7">
        <v>3596.32</v>
      </c>
      <c r="J755" s="7">
        <v>3883.75</v>
      </c>
    </row>
    <row r="756" spans="1:10" x14ac:dyDescent="0.3">
      <c r="A756" s="3">
        <v>45860</v>
      </c>
      <c r="B756" s="5">
        <v>7</v>
      </c>
      <c r="C756" s="5">
        <v>2025</v>
      </c>
      <c r="D756" s="5">
        <v>3</v>
      </c>
      <c r="E756" t="s">
        <v>14</v>
      </c>
      <c r="F756" t="s">
        <v>17</v>
      </c>
      <c r="G756" t="s">
        <v>15</v>
      </c>
      <c r="H756" t="s">
        <v>18</v>
      </c>
      <c r="I756" s="7">
        <v>-43891.09</v>
      </c>
    </row>
    <row r="757" spans="1:10" x14ac:dyDescent="0.3">
      <c r="A757" s="3">
        <v>45860</v>
      </c>
      <c r="B757" s="5">
        <v>7</v>
      </c>
      <c r="C757" s="5">
        <v>2025</v>
      </c>
      <c r="D757" s="5">
        <v>3</v>
      </c>
      <c r="E757" t="s">
        <v>34</v>
      </c>
      <c r="F757" t="s">
        <v>10</v>
      </c>
      <c r="G757" t="s">
        <v>57</v>
      </c>
      <c r="H757" t="s">
        <v>70</v>
      </c>
      <c r="I757" s="7">
        <v>10362.92</v>
      </c>
      <c r="J757" s="7">
        <v>10503.43</v>
      </c>
    </row>
    <row r="758" spans="1:10" x14ac:dyDescent="0.3">
      <c r="A758" s="3">
        <v>45861</v>
      </c>
      <c r="B758" s="5">
        <v>7</v>
      </c>
      <c r="C758" s="5">
        <v>2025</v>
      </c>
      <c r="D758" s="5">
        <v>3</v>
      </c>
      <c r="E758" t="s">
        <v>34</v>
      </c>
      <c r="F758" t="s">
        <v>17</v>
      </c>
      <c r="G758" t="s">
        <v>74</v>
      </c>
      <c r="H758" t="s">
        <v>88</v>
      </c>
      <c r="I758" s="7">
        <v>-9182.01</v>
      </c>
    </row>
    <row r="759" spans="1:10" x14ac:dyDescent="0.3">
      <c r="A759" s="3">
        <v>45862</v>
      </c>
      <c r="B759" s="5">
        <v>7</v>
      </c>
      <c r="C759" s="5">
        <v>2025</v>
      </c>
      <c r="D759" s="5">
        <v>3</v>
      </c>
      <c r="E759" t="s">
        <v>37</v>
      </c>
      <c r="F759" t="s">
        <v>17</v>
      </c>
      <c r="G759" t="s">
        <v>40</v>
      </c>
      <c r="H759" t="s">
        <v>56</v>
      </c>
      <c r="I759" s="7">
        <v>-3104.82</v>
      </c>
    </row>
    <row r="760" spans="1:10" x14ac:dyDescent="0.3">
      <c r="A760" s="3">
        <v>45863</v>
      </c>
      <c r="B760" s="5">
        <v>7</v>
      </c>
      <c r="C760" s="5">
        <v>2025</v>
      </c>
      <c r="D760" s="5">
        <v>3</v>
      </c>
      <c r="E760" t="s">
        <v>31</v>
      </c>
      <c r="F760" t="s">
        <v>17</v>
      </c>
      <c r="G760" t="s">
        <v>74</v>
      </c>
      <c r="H760" t="s">
        <v>86</v>
      </c>
      <c r="I760" s="7">
        <v>-2761.46</v>
      </c>
    </row>
    <row r="761" spans="1:10" x14ac:dyDescent="0.3">
      <c r="A761" s="3">
        <v>45865</v>
      </c>
      <c r="B761" s="5">
        <v>7</v>
      </c>
      <c r="C761" s="5">
        <v>2025</v>
      </c>
      <c r="D761" s="5">
        <v>3</v>
      </c>
      <c r="E761" t="s">
        <v>19</v>
      </c>
      <c r="F761" t="s">
        <v>10</v>
      </c>
      <c r="G761" t="s">
        <v>15</v>
      </c>
      <c r="H761" t="s">
        <v>20</v>
      </c>
      <c r="I761" s="7">
        <v>27527.45</v>
      </c>
      <c r="J761" s="7">
        <v>27571.75</v>
      </c>
    </row>
    <row r="762" spans="1:10" x14ac:dyDescent="0.3">
      <c r="A762" s="3">
        <v>45865</v>
      </c>
      <c r="B762" s="5">
        <v>7</v>
      </c>
      <c r="C762" s="5">
        <v>2025</v>
      </c>
      <c r="D762" s="5">
        <v>3</v>
      </c>
      <c r="E762" t="s">
        <v>34</v>
      </c>
      <c r="F762" t="s">
        <v>10</v>
      </c>
      <c r="G762" t="s">
        <v>40</v>
      </c>
      <c r="H762" t="s">
        <v>53</v>
      </c>
      <c r="I762" s="7">
        <v>12572.35</v>
      </c>
      <c r="J762" s="7">
        <v>12759.62</v>
      </c>
    </row>
    <row r="763" spans="1:10" x14ac:dyDescent="0.3">
      <c r="A763" s="3">
        <v>45865</v>
      </c>
      <c r="B763" s="5">
        <v>7</v>
      </c>
      <c r="C763" s="5">
        <v>2025</v>
      </c>
      <c r="D763" s="5">
        <v>3</v>
      </c>
      <c r="E763" t="s">
        <v>22</v>
      </c>
      <c r="F763" t="s">
        <v>17</v>
      </c>
      <c r="G763" t="s">
        <v>57</v>
      </c>
      <c r="H763" t="s">
        <v>63</v>
      </c>
      <c r="I763" s="7">
        <v>-14636.02</v>
      </c>
    </row>
    <row r="764" spans="1:10" x14ac:dyDescent="0.3">
      <c r="A764" s="3">
        <v>45866</v>
      </c>
      <c r="B764" s="5">
        <v>7</v>
      </c>
      <c r="C764" s="5">
        <v>2025</v>
      </c>
      <c r="D764" s="5">
        <v>3</v>
      </c>
      <c r="E764" t="s">
        <v>14</v>
      </c>
      <c r="F764" t="s">
        <v>10</v>
      </c>
      <c r="G764" t="s">
        <v>40</v>
      </c>
      <c r="H764" t="s">
        <v>41</v>
      </c>
      <c r="I764" s="7">
        <v>25351.52</v>
      </c>
      <c r="J764" s="7">
        <v>24596.44</v>
      </c>
    </row>
    <row r="765" spans="1:10" x14ac:dyDescent="0.3">
      <c r="A765" s="3">
        <v>45868</v>
      </c>
      <c r="B765" s="5">
        <v>7</v>
      </c>
      <c r="C765" s="5">
        <v>2025</v>
      </c>
      <c r="D765" s="5">
        <v>3</v>
      </c>
      <c r="E765" t="s">
        <v>22</v>
      </c>
      <c r="F765" t="s">
        <v>17</v>
      </c>
      <c r="G765" t="s">
        <v>15</v>
      </c>
      <c r="H765" t="s">
        <v>24</v>
      </c>
      <c r="I765" s="7">
        <v>-12591.18</v>
      </c>
    </row>
    <row r="766" spans="1:10" x14ac:dyDescent="0.3">
      <c r="A766" s="3">
        <v>45868</v>
      </c>
      <c r="B766" s="5">
        <v>7</v>
      </c>
      <c r="C766" s="5">
        <v>2025</v>
      </c>
      <c r="D766" s="5">
        <v>3</v>
      </c>
      <c r="E766" t="s">
        <v>22</v>
      </c>
      <c r="F766" t="s">
        <v>10</v>
      </c>
      <c r="G766" t="s">
        <v>57</v>
      </c>
      <c r="H766" t="s">
        <v>62</v>
      </c>
      <c r="I766" s="7">
        <v>28594.79</v>
      </c>
      <c r="J766" s="7">
        <v>28901.19</v>
      </c>
    </row>
    <row r="767" spans="1:10" x14ac:dyDescent="0.3">
      <c r="A767" s="3">
        <v>45868</v>
      </c>
      <c r="B767" s="5">
        <v>7</v>
      </c>
      <c r="C767" s="5">
        <v>2025</v>
      </c>
      <c r="D767" s="5">
        <v>3</v>
      </c>
      <c r="E767" t="s">
        <v>28</v>
      </c>
      <c r="F767" t="s">
        <v>10</v>
      </c>
      <c r="G767" t="s">
        <v>57</v>
      </c>
      <c r="H767" t="s">
        <v>66</v>
      </c>
      <c r="I767" s="7">
        <v>17124.900000000001</v>
      </c>
      <c r="J767" s="7">
        <v>16320.9</v>
      </c>
    </row>
    <row r="768" spans="1:10" x14ac:dyDescent="0.3">
      <c r="A768" s="3">
        <v>45868</v>
      </c>
      <c r="B768" s="5">
        <v>7</v>
      </c>
      <c r="C768" s="5">
        <v>2025</v>
      </c>
      <c r="D768" s="5">
        <v>3</v>
      </c>
      <c r="E768" t="s">
        <v>28</v>
      </c>
      <c r="F768" t="s">
        <v>17</v>
      </c>
      <c r="G768" t="s">
        <v>57</v>
      </c>
      <c r="H768" t="s">
        <v>67</v>
      </c>
      <c r="I768" s="7">
        <v>-6799.75</v>
      </c>
    </row>
    <row r="769" spans="1:10" x14ac:dyDescent="0.3">
      <c r="A769" s="3">
        <v>45869</v>
      </c>
      <c r="B769" s="5">
        <v>7</v>
      </c>
      <c r="C769" s="5">
        <v>2025</v>
      </c>
      <c r="D769" s="5">
        <v>3</v>
      </c>
      <c r="E769" t="s">
        <v>28</v>
      </c>
      <c r="F769" t="s">
        <v>17</v>
      </c>
      <c r="G769" t="s">
        <v>40</v>
      </c>
      <c r="H769" t="s">
        <v>50</v>
      </c>
      <c r="I769" s="7">
        <v>-9369.85</v>
      </c>
    </row>
    <row r="770" spans="1:10" x14ac:dyDescent="0.3">
      <c r="A770" s="3">
        <v>45871</v>
      </c>
      <c r="B770" s="5">
        <v>8</v>
      </c>
      <c r="C770" s="5">
        <v>2025</v>
      </c>
      <c r="D770" s="5">
        <v>3</v>
      </c>
      <c r="E770" t="s">
        <v>19</v>
      </c>
      <c r="F770" t="s">
        <v>17</v>
      </c>
      <c r="G770" t="s">
        <v>15</v>
      </c>
      <c r="H770" t="s">
        <v>21</v>
      </c>
      <c r="I770" s="7">
        <v>-18314.61</v>
      </c>
    </row>
    <row r="771" spans="1:10" x14ac:dyDescent="0.3">
      <c r="A771" s="3">
        <v>45871</v>
      </c>
      <c r="B771" s="5">
        <v>8</v>
      </c>
      <c r="C771" s="5">
        <v>2025</v>
      </c>
      <c r="D771" s="5">
        <v>3</v>
      </c>
      <c r="E771" t="s">
        <v>37</v>
      </c>
      <c r="F771" t="s">
        <v>17</v>
      </c>
      <c r="G771" t="s">
        <v>15</v>
      </c>
      <c r="H771" t="s">
        <v>39</v>
      </c>
      <c r="I771" s="7">
        <v>-3849.54</v>
      </c>
    </row>
    <row r="772" spans="1:10" x14ac:dyDescent="0.3">
      <c r="A772" s="3">
        <v>45872</v>
      </c>
      <c r="B772" s="5">
        <v>8</v>
      </c>
      <c r="C772" s="5">
        <v>2025</v>
      </c>
      <c r="D772" s="5">
        <v>3</v>
      </c>
      <c r="E772" t="s">
        <v>14</v>
      </c>
      <c r="F772" t="s">
        <v>17</v>
      </c>
      <c r="G772" t="s">
        <v>15</v>
      </c>
      <c r="H772" t="s">
        <v>18</v>
      </c>
      <c r="I772" s="7">
        <v>-15632.61</v>
      </c>
    </row>
    <row r="773" spans="1:10" x14ac:dyDescent="0.3">
      <c r="A773" s="3">
        <v>45872</v>
      </c>
      <c r="B773" s="5">
        <v>8</v>
      </c>
      <c r="C773" s="5">
        <v>2025</v>
      </c>
      <c r="D773" s="5">
        <v>3</v>
      </c>
      <c r="E773" t="s">
        <v>28</v>
      </c>
      <c r="F773" t="s">
        <v>17</v>
      </c>
      <c r="G773" t="s">
        <v>15</v>
      </c>
      <c r="H773" t="s">
        <v>30</v>
      </c>
      <c r="I773" s="7">
        <v>-21954.12</v>
      </c>
    </row>
    <row r="774" spans="1:10" x14ac:dyDescent="0.3">
      <c r="A774" s="3">
        <v>45872</v>
      </c>
      <c r="B774" s="5">
        <v>8</v>
      </c>
      <c r="C774" s="5">
        <v>2025</v>
      </c>
      <c r="D774" s="5">
        <v>3</v>
      </c>
      <c r="E774" t="s">
        <v>28</v>
      </c>
      <c r="F774" t="s">
        <v>17</v>
      </c>
      <c r="G774" t="s">
        <v>40</v>
      </c>
      <c r="H774" t="s">
        <v>50</v>
      </c>
      <c r="I774" s="7">
        <v>-6951.15</v>
      </c>
    </row>
    <row r="775" spans="1:10" x14ac:dyDescent="0.3">
      <c r="A775" s="3">
        <v>45872</v>
      </c>
      <c r="B775" s="5">
        <v>8</v>
      </c>
      <c r="C775" s="5">
        <v>2025</v>
      </c>
      <c r="D775" s="5">
        <v>3</v>
      </c>
      <c r="E775" t="s">
        <v>19</v>
      </c>
      <c r="F775" t="s">
        <v>10</v>
      </c>
      <c r="G775" t="s">
        <v>74</v>
      </c>
      <c r="H775" t="s">
        <v>77</v>
      </c>
      <c r="I775" s="7">
        <v>19214.310000000001</v>
      </c>
      <c r="J775" s="7">
        <v>19294.97</v>
      </c>
    </row>
    <row r="776" spans="1:10" x14ac:dyDescent="0.3">
      <c r="A776" s="3">
        <v>45872</v>
      </c>
      <c r="B776" s="5">
        <v>8</v>
      </c>
      <c r="C776" s="5">
        <v>2025</v>
      </c>
      <c r="D776" s="5">
        <v>3</v>
      </c>
      <c r="E776" t="s">
        <v>25</v>
      </c>
      <c r="F776" t="s">
        <v>17</v>
      </c>
      <c r="G776" t="s">
        <v>74</v>
      </c>
      <c r="H776" t="s">
        <v>82</v>
      </c>
      <c r="I776" s="7">
        <v>-5433.13</v>
      </c>
    </row>
    <row r="777" spans="1:10" x14ac:dyDescent="0.3">
      <c r="A777" s="3">
        <v>45873</v>
      </c>
      <c r="B777" s="5">
        <v>8</v>
      </c>
      <c r="C777" s="5">
        <v>2025</v>
      </c>
      <c r="D777" s="5">
        <v>3</v>
      </c>
      <c r="E777" t="s">
        <v>34</v>
      </c>
      <c r="F777" t="s">
        <v>10</v>
      </c>
      <c r="G777" t="s">
        <v>57</v>
      </c>
      <c r="H777" t="s">
        <v>70</v>
      </c>
      <c r="I777" s="7">
        <v>12570.27</v>
      </c>
      <c r="J777" s="7">
        <v>12569.66</v>
      </c>
    </row>
    <row r="778" spans="1:10" x14ac:dyDescent="0.3">
      <c r="A778" s="3">
        <v>45874</v>
      </c>
      <c r="B778" s="5">
        <v>8</v>
      </c>
      <c r="C778" s="5">
        <v>2025</v>
      </c>
      <c r="D778" s="5">
        <v>3</v>
      </c>
      <c r="E778" t="s">
        <v>14</v>
      </c>
      <c r="F778" t="s">
        <v>17</v>
      </c>
      <c r="G778" t="s">
        <v>40</v>
      </c>
      <c r="H778" t="s">
        <v>42</v>
      </c>
      <c r="I778" s="7">
        <v>-34156</v>
      </c>
    </row>
    <row r="779" spans="1:10" x14ac:dyDescent="0.3">
      <c r="A779" s="3">
        <v>45874</v>
      </c>
      <c r="B779" s="5">
        <v>8</v>
      </c>
      <c r="C779" s="5">
        <v>2025</v>
      </c>
      <c r="D779" s="5">
        <v>3</v>
      </c>
      <c r="E779" t="s">
        <v>19</v>
      </c>
      <c r="F779" t="s">
        <v>17</v>
      </c>
      <c r="G779" t="s">
        <v>40</v>
      </c>
      <c r="H779" t="s">
        <v>44</v>
      </c>
      <c r="I779" s="7">
        <v>-11918.18</v>
      </c>
    </row>
    <row r="780" spans="1:10" x14ac:dyDescent="0.3">
      <c r="A780" s="3">
        <v>45874</v>
      </c>
      <c r="B780" s="5">
        <v>8</v>
      </c>
      <c r="C780" s="5">
        <v>2025</v>
      </c>
      <c r="D780" s="5">
        <v>3</v>
      </c>
      <c r="E780" t="s">
        <v>34</v>
      </c>
      <c r="F780" t="s">
        <v>17</v>
      </c>
      <c r="G780" t="s">
        <v>40</v>
      </c>
      <c r="H780" t="s">
        <v>54</v>
      </c>
      <c r="I780" s="7">
        <v>-20867.189999999999</v>
      </c>
    </row>
    <row r="781" spans="1:10" x14ac:dyDescent="0.3">
      <c r="A781" s="3">
        <v>45875</v>
      </c>
      <c r="B781" s="5">
        <v>8</v>
      </c>
      <c r="C781" s="5">
        <v>2025</v>
      </c>
      <c r="D781" s="5">
        <v>3</v>
      </c>
      <c r="E781" t="s">
        <v>25</v>
      </c>
      <c r="F781" t="s">
        <v>10</v>
      </c>
      <c r="G781" t="s">
        <v>40</v>
      </c>
      <c r="H781" t="s">
        <v>47</v>
      </c>
      <c r="I781" s="7">
        <v>8241.27</v>
      </c>
      <c r="J781" s="7">
        <v>9046.2099999999991</v>
      </c>
    </row>
    <row r="782" spans="1:10" x14ac:dyDescent="0.3">
      <c r="A782" s="3">
        <v>45875</v>
      </c>
      <c r="B782" s="5">
        <v>8</v>
      </c>
      <c r="C782" s="5">
        <v>2025</v>
      </c>
      <c r="D782" s="5">
        <v>3</v>
      </c>
      <c r="E782" t="s">
        <v>19</v>
      </c>
      <c r="F782" t="s">
        <v>17</v>
      </c>
      <c r="G782" t="s">
        <v>57</v>
      </c>
      <c r="H782" t="s">
        <v>61</v>
      </c>
      <c r="I782" s="7">
        <v>-29552.65</v>
      </c>
    </row>
    <row r="783" spans="1:10" x14ac:dyDescent="0.3">
      <c r="A783" s="3">
        <v>45876</v>
      </c>
      <c r="B783" s="5">
        <v>8</v>
      </c>
      <c r="C783" s="5">
        <v>2025</v>
      </c>
      <c r="D783" s="5">
        <v>3</v>
      </c>
      <c r="E783" t="s">
        <v>22</v>
      </c>
      <c r="F783" t="s">
        <v>10</v>
      </c>
      <c r="G783" t="s">
        <v>57</v>
      </c>
      <c r="H783" t="s">
        <v>62</v>
      </c>
      <c r="I783" s="7">
        <v>27076.21</v>
      </c>
      <c r="J783" s="7">
        <v>29267.95</v>
      </c>
    </row>
    <row r="784" spans="1:10" x14ac:dyDescent="0.3">
      <c r="A784" s="3">
        <v>45876</v>
      </c>
      <c r="B784" s="5">
        <v>8</v>
      </c>
      <c r="C784" s="5">
        <v>2025</v>
      </c>
      <c r="D784" s="5">
        <v>3</v>
      </c>
      <c r="E784" t="s">
        <v>37</v>
      </c>
      <c r="F784" t="s">
        <v>17</v>
      </c>
      <c r="G784" t="s">
        <v>57</v>
      </c>
      <c r="H784" t="s">
        <v>73</v>
      </c>
      <c r="I784" s="7">
        <v>-3748.44</v>
      </c>
    </row>
    <row r="785" spans="1:10" x14ac:dyDescent="0.3">
      <c r="A785" s="3">
        <v>45877</v>
      </c>
      <c r="B785" s="5">
        <v>8</v>
      </c>
      <c r="C785" s="5">
        <v>2025</v>
      </c>
      <c r="D785" s="5">
        <v>3</v>
      </c>
      <c r="E785" t="s">
        <v>31</v>
      </c>
      <c r="F785" t="s">
        <v>10</v>
      </c>
      <c r="G785" t="s">
        <v>15</v>
      </c>
      <c r="H785" t="s">
        <v>32</v>
      </c>
      <c r="I785" s="7">
        <v>4940.37</v>
      </c>
      <c r="J785" s="7">
        <v>4857.74</v>
      </c>
    </row>
    <row r="786" spans="1:10" x14ac:dyDescent="0.3">
      <c r="A786" s="3">
        <v>45877</v>
      </c>
      <c r="B786" s="5">
        <v>8</v>
      </c>
      <c r="C786" s="5">
        <v>2025</v>
      </c>
      <c r="D786" s="5">
        <v>3</v>
      </c>
      <c r="E786" t="s">
        <v>22</v>
      </c>
      <c r="F786" t="s">
        <v>10</v>
      </c>
      <c r="G786" t="s">
        <v>40</v>
      </c>
      <c r="H786" t="s">
        <v>45</v>
      </c>
      <c r="I786" s="7">
        <v>28234.95</v>
      </c>
      <c r="J786" s="7">
        <v>28295.14</v>
      </c>
    </row>
    <row r="787" spans="1:10" x14ac:dyDescent="0.3">
      <c r="A787" s="3">
        <v>45877</v>
      </c>
      <c r="B787" s="5">
        <v>8</v>
      </c>
      <c r="C787" s="5">
        <v>2025</v>
      </c>
      <c r="D787" s="5">
        <v>3</v>
      </c>
      <c r="E787" t="s">
        <v>34</v>
      </c>
      <c r="F787" t="s">
        <v>10</v>
      </c>
      <c r="G787" t="s">
        <v>40</v>
      </c>
      <c r="H787" t="s">
        <v>53</v>
      </c>
      <c r="I787" s="7">
        <v>13716.3</v>
      </c>
      <c r="J787" s="7">
        <v>13966.87</v>
      </c>
    </row>
    <row r="788" spans="1:10" x14ac:dyDescent="0.3">
      <c r="A788" s="3">
        <v>45877</v>
      </c>
      <c r="B788" s="5">
        <v>8</v>
      </c>
      <c r="C788" s="5">
        <v>2025</v>
      </c>
      <c r="D788" s="5">
        <v>3</v>
      </c>
      <c r="E788" t="s">
        <v>28</v>
      </c>
      <c r="F788" t="s">
        <v>17</v>
      </c>
      <c r="G788" t="s">
        <v>57</v>
      </c>
      <c r="H788" t="s">
        <v>67</v>
      </c>
      <c r="I788" s="7">
        <v>-18980.82</v>
      </c>
    </row>
    <row r="789" spans="1:10" x14ac:dyDescent="0.3">
      <c r="A789" s="3">
        <v>45877</v>
      </c>
      <c r="B789" s="5">
        <v>8</v>
      </c>
      <c r="C789" s="5">
        <v>2025</v>
      </c>
      <c r="D789" s="5">
        <v>3</v>
      </c>
      <c r="E789" t="s">
        <v>31</v>
      </c>
      <c r="F789" t="s">
        <v>17</v>
      </c>
      <c r="G789" t="s">
        <v>57</v>
      </c>
      <c r="H789" t="s">
        <v>69</v>
      </c>
      <c r="I789" s="7">
        <v>-4657.3900000000003</v>
      </c>
    </row>
    <row r="790" spans="1:10" x14ac:dyDescent="0.3">
      <c r="A790" s="3">
        <v>45877</v>
      </c>
      <c r="B790" s="5">
        <v>8</v>
      </c>
      <c r="C790" s="5">
        <v>2025</v>
      </c>
      <c r="D790" s="5">
        <v>3</v>
      </c>
      <c r="E790" t="s">
        <v>34</v>
      </c>
      <c r="F790" t="s">
        <v>17</v>
      </c>
      <c r="G790" t="s">
        <v>74</v>
      </c>
      <c r="H790" t="s">
        <v>88</v>
      </c>
      <c r="I790" s="7">
        <v>-18057.27</v>
      </c>
    </row>
    <row r="791" spans="1:10" x14ac:dyDescent="0.3">
      <c r="A791" s="3">
        <v>45878</v>
      </c>
      <c r="B791" s="5">
        <v>8</v>
      </c>
      <c r="C791" s="5">
        <v>2025</v>
      </c>
      <c r="D791" s="5">
        <v>3</v>
      </c>
      <c r="E791" t="s">
        <v>22</v>
      </c>
      <c r="F791" t="s">
        <v>17</v>
      </c>
      <c r="G791" t="s">
        <v>40</v>
      </c>
      <c r="H791" t="s">
        <v>46</v>
      </c>
      <c r="I791" s="7">
        <v>-30013.27</v>
      </c>
    </row>
    <row r="792" spans="1:10" x14ac:dyDescent="0.3">
      <c r="A792" s="3">
        <v>45878</v>
      </c>
      <c r="B792" s="5">
        <v>8</v>
      </c>
      <c r="C792" s="5">
        <v>2025</v>
      </c>
      <c r="D792" s="5">
        <v>3</v>
      </c>
      <c r="E792" t="s">
        <v>14</v>
      </c>
      <c r="F792" t="s">
        <v>10</v>
      </c>
      <c r="G792" t="s">
        <v>74</v>
      </c>
      <c r="H792" t="s">
        <v>75</v>
      </c>
      <c r="I792" s="7">
        <v>21431.51</v>
      </c>
      <c r="J792" s="7">
        <v>22740.01</v>
      </c>
    </row>
    <row r="793" spans="1:10" x14ac:dyDescent="0.3">
      <c r="A793" s="3">
        <v>45879</v>
      </c>
      <c r="B793" s="5">
        <v>8</v>
      </c>
      <c r="C793" s="5">
        <v>2025</v>
      </c>
      <c r="D793" s="5">
        <v>3</v>
      </c>
      <c r="E793" t="s">
        <v>25</v>
      </c>
      <c r="F793" t="s">
        <v>17</v>
      </c>
      <c r="G793" t="s">
        <v>15</v>
      </c>
      <c r="H793" t="s">
        <v>27</v>
      </c>
      <c r="I793" s="7">
        <v>-5548.37</v>
      </c>
    </row>
    <row r="794" spans="1:10" x14ac:dyDescent="0.3">
      <c r="A794" s="3">
        <v>45879</v>
      </c>
      <c r="B794" s="5">
        <v>8</v>
      </c>
      <c r="C794" s="5">
        <v>2025</v>
      </c>
      <c r="D794" s="5">
        <v>3</v>
      </c>
      <c r="E794" t="s">
        <v>34</v>
      </c>
      <c r="F794" t="s">
        <v>10</v>
      </c>
      <c r="G794" t="s">
        <v>15</v>
      </c>
      <c r="H794" t="s">
        <v>35</v>
      </c>
      <c r="I794" s="7">
        <v>14699.25</v>
      </c>
      <c r="J794" s="7">
        <v>15037.65</v>
      </c>
    </row>
    <row r="795" spans="1:10" x14ac:dyDescent="0.3">
      <c r="A795" s="3">
        <v>45879</v>
      </c>
      <c r="B795" s="5">
        <v>8</v>
      </c>
      <c r="C795" s="5">
        <v>2025</v>
      </c>
      <c r="D795" s="5">
        <v>3</v>
      </c>
      <c r="E795" t="s">
        <v>31</v>
      </c>
      <c r="F795" t="s">
        <v>17</v>
      </c>
      <c r="G795" t="s">
        <v>40</v>
      </c>
      <c r="H795" t="s">
        <v>52</v>
      </c>
      <c r="I795" s="7">
        <v>-3248.29</v>
      </c>
    </row>
    <row r="796" spans="1:10" x14ac:dyDescent="0.3">
      <c r="A796" s="3">
        <v>45879</v>
      </c>
      <c r="B796" s="5">
        <v>8</v>
      </c>
      <c r="C796" s="5">
        <v>2025</v>
      </c>
      <c r="D796" s="5">
        <v>3</v>
      </c>
      <c r="E796" t="s">
        <v>34</v>
      </c>
      <c r="F796" t="s">
        <v>10</v>
      </c>
      <c r="G796" t="s">
        <v>74</v>
      </c>
      <c r="H796" t="s">
        <v>87</v>
      </c>
      <c r="I796" s="7">
        <v>11842.16</v>
      </c>
      <c r="J796" s="7">
        <v>12876.6</v>
      </c>
    </row>
    <row r="797" spans="1:10" x14ac:dyDescent="0.3">
      <c r="A797" s="3">
        <v>45879</v>
      </c>
      <c r="B797" s="5">
        <v>8</v>
      </c>
      <c r="C797" s="5">
        <v>2025</v>
      </c>
      <c r="D797" s="5">
        <v>3</v>
      </c>
      <c r="E797" t="s">
        <v>37</v>
      </c>
      <c r="F797" t="s">
        <v>10</v>
      </c>
      <c r="G797" t="s">
        <v>74</v>
      </c>
      <c r="H797" t="s">
        <v>89</v>
      </c>
      <c r="I797" s="7">
        <v>6053.18</v>
      </c>
      <c r="J797" s="7">
        <v>6386.38</v>
      </c>
    </row>
    <row r="798" spans="1:10" x14ac:dyDescent="0.3">
      <c r="A798" s="3">
        <v>45879</v>
      </c>
      <c r="B798" s="5">
        <v>8</v>
      </c>
      <c r="C798" s="5">
        <v>2025</v>
      </c>
      <c r="D798" s="5">
        <v>3</v>
      </c>
      <c r="E798" t="s">
        <v>37</v>
      </c>
      <c r="F798" t="s">
        <v>17</v>
      </c>
      <c r="G798" t="s">
        <v>74</v>
      </c>
      <c r="H798" t="s">
        <v>90</v>
      </c>
      <c r="I798" s="7">
        <v>-3582.5</v>
      </c>
    </row>
    <row r="799" spans="1:10" x14ac:dyDescent="0.3">
      <c r="A799" s="3">
        <v>45880</v>
      </c>
      <c r="B799" s="5">
        <v>8</v>
      </c>
      <c r="C799" s="5">
        <v>2025</v>
      </c>
      <c r="D799" s="5">
        <v>3</v>
      </c>
      <c r="E799" t="s">
        <v>22</v>
      </c>
      <c r="F799" t="s">
        <v>17</v>
      </c>
      <c r="G799" t="s">
        <v>15</v>
      </c>
      <c r="H799" t="s">
        <v>24</v>
      </c>
      <c r="I799" s="7">
        <v>-12679</v>
      </c>
    </row>
    <row r="800" spans="1:10" x14ac:dyDescent="0.3">
      <c r="A800" s="3">
        <v>45881</v>
      </c>
      <c r="B800" s="5">
        <v>8</v>
      </c>
      <c r="C800" s="5">
        <v>2025</v>
      </c>
      <c r="D800" s="5">
        <v>3</v>
      </c>
      <c r="E800" t="s">
        <v>31</v>
      </c>
      <c r="F800" t="s">
        <v>10</v>
      </c>
      <c r="G800" t="s">
        <v>40</v>
      </c>
      <c r="H800" t="s">
        <v>51</v>
      </c>
      <c r="I800" s="7">
        <v>5547.8</v>
      </c>
      <c r="J800" s="7">
        <v>5979.56</v>
      </c>
    </row>
    <row r="801" spans="1:10" x14ac:dyDescent="0.3">
      <c r="A801" s="3">
        <v>45881</v>
      </c>
      <c r="B801" s="5">
        <v>8</v>
      </c>
      <c r="C801" s="5">
        <v>2025</v>
      </c>
      <c r="D801" s="5">
        <v>3</v>
      </c>
      <c r="E801" t="s">
        <v>37</v>
      </c>
      <c r="F801" t="s">
        <v>10</v>
      </c>
      <c r="G801" t="s">
        <v>40</v>
      </c>
      <c r="H801" t="s">
        <v>55</v>
      </c>
      <c r="I801" s="7">
        <v>4695.26</v>
      </c>
      <c r="J801" s="7">
        <v>4983.21</v>
      </c>
    </row>
    <row r="802" spans="1:10" x14ac:dyDescent="0.3">
      <c r="A802" s="3">
        <v>45881</v>
      </c>
      <c r="B802" s="5">
        <v>8</v>
      </c>
      <c r="C802" s="5">
        <v>2025</v>
      </c>
      <c r="D802" s="5">
        <v>3</v>
      </c>
      <c r="E802" t="s">
        <v>28</v>
      </c>
      <c r="F802" t="s">
        <v>10</v>
      </c>
      <c r="G802" t="s">
        <v>74</v>
      </c>
      <c r="H802" t="s">
        <v>83</v>
      </c>
      <c r="I802" s="7">
        <v>15864.64</v>
      </c>
      <c r="J802" s="7">
        <v>16513.150000000001</v>
      </c>
    </row>
    <row r="803" spans="1:10" x14ac:dyDescent="0.3">
      <c r="A803" s="3">
        <v>45883</v>
      </c>
      <c r="B803" s="5">
        <v>8</v>
      </c>
      <c r="C803" s="5">
        <v>2025</v>
      </c>
      <c r="D803" s="5">
        <v>3</v>
      </c>
      <c r="E803" t="s">
        <v>31</v>
      </c>
      <c r="F803" t="s">
        <v>17</v>
      </c>
      <c r="G803" t="s">
        <v>15</v>
      </c>
      <c r="H803" t="s">
        <v>33</v>
      </c>
      <c r="I803" s="7">
        <v>-6241.5</v>
      </c>
    </row>
    <row r="804" spans="1:10" x14ac:dyDescent="0.3">
      <c r="A804" s="3">
        <v>45883</v>
      </c>
      <c r="B804" s="5">
        <v>8</v>
      </c>
      <c r="C804" s="5">
        <v>2025</v>
      </c>
      <c r="D804" s="5">
        <v>3</v>
      </c>
      <c r="E804" t="s">
        <v>34</v>
      </c>
      <c r="F804" t="s">
        <v>17</v>
      </c>
      <c r="G804" t="s">
        <v>15</v>
      </c>
      <c r="H804" t="s">
        <v>36</v>
      </c>
      <c r="I804" s="7">
        <v>-11248.47</v>
      </c>
    </row>
    <row r="805" spans="1:10" x14ac:dyDescent="0.3">
      <c r="A805" s="3">
        <v>45883</v>
      </c>
      <c r="B805" s="5">
        <v>8</v>
      </c>
      <c r="C805" s="5">
        <v>2025</v>
      </c>
      <c r="D805" s="5">
        <v>3</v>
      </c>
      <c r="E805" t="s">
        <v>37</v>
      </c>
      <c r="F805" t="s">
        <v>10</v>
      </c>
      <c r="G805" t="s">
        <v>15</v>
      </c>
      <c r="H805" t="s">
        <v>38</v>
      </c>
      <c r="I805" s="7">
        <v>5555.29</v>
      </c>
      <c r="J805" s="7">
        <v>5490.73</v>
      </c>
    </row>
    <row r="806" spans="1:10" x14ac:dyDescent="0.3">
      <c r="A806" s="3">
        <v>45884</v>
      </c>
      <c r="B806" s="5">
        <v>8</v>
      </c>
      <c r="C806" s="5">
        <v>2025</v>
      </c>
      <c r="D806" s="5">
        <v>3</v>
      </c>
      <c r="E806" t="s">
        <v>25</v>
      </c>
      <c r="F806" t="s">
        <v>17</v>
      </c>
      <c r="G806" t="s">
        <v>57</v>
      </c>
      <c r="H806" t="s">
        <v>65</v>
      </c>
      <c r="I806" s="7">
        <v>-11555.94</v>
      </c>
    </row>
    <row r="807" spans="1:10" x14ac:dyDescent="0.3">
      <c r="A807" s="3">
        <v>45884</v>
      </c>
      <c r="B807" s="5">
        <v>8</v>
      </c>
      <c r="C807" s="5">
        <v>2025</v>
      </c>
      <c r="D807" s="5">
        <v>3</v>
      </c>
      <c r="E807" t="s">
        <v>31</v>
      </c>
      <c r="F807" t="s">
        <v>10</v>
      </c>
      <c r="G807" t="s">
        <v>57</v>
      </c>
      <c r="H807" t="s">
        <v>68</v>
      </c>
      <c r="I807" s="7">
        <v>4122.16</v>
      </c>
      <c r="J807" s="7">
        <v>3973.44</v>
      </c>
    </row>
    <row r="808" spans="1:10" x14ac:dyDescent="0.3">
      <c r="A808" s="3">
        <v>45885</v>
      </c>
      <c r="B808" s="5">
        <v>8</v>
      </c>
      <c r="C808" s="5">
        <v>2025</v>
      </c>
      <c r="D808" s="5">
        <v>3</v>
      </c>
      <c r="E808" t="s">
        <v>14</v>
      </c>
      <c r="F808" t="s">
        <v>10</v>
      </c>
      <c r="G808" t="s">
        <v>15</v>
      </c>
      <c r="H808" t="s">
        <v>16</v>
      </c>
      <c r="I808" s="7">
        <v>32782.449999999997</v>
      </c>
      <c r="J808" s="7">
        <v>31165.02</v>
      </c>
    </row>
    <row r="809" spans="1:10" x14ac:dyDescent="0.3">
      <c r="A809" s="3">
        <v>45885</v>
      </c>
      <c r="B809" s="5">
        <v>8</v>
      </c>
      <c r="C809" s="5">
        <v>2025</v>
      </c>
      <c r="D809" s="5">
        <v>3</v>
      </c>
      <c r="E809" t="s">
        <v>19</v>
      </c>
      <c r="F809" t="s">
        <v>10</v>
      </c>
      <c r="G809" t="s">
        <v>15</v>
      </c>
      <c r="H809" t="s">
        <v>20</v>
      </c>
      <c r="I809" s="7">
        <v>23904.5</v>
      </c>
      <c r="J809" s="7">
        <v>25998.34</v>
      </c>
    </row>
    <row r="810" spans="1:10" x14ac:dyDescent="0.3">
      <c r="A810" s="3">
        <v>45886</v>
      </c>
      <c r="B810" s="5">
        <v>8</v>
      </c>
      <c r="C810" s="5">
        <v>2025</v>
      </c>
      <c r="D810" s="5">
        <v>3</v>
      </c>
      <c r="E810" t="s">
        <v>28</v>
      </c>
      <c r="F810" t="s">
        <v>10</v>
      </c>
      <c r="G810" t="s">
        <v>40</v>
      </c>
      <c r="H810" t="s">
        <v>49</v>
      </c>
      <c r="I810" s="7">
        <v>12587.11</v>
      </c>
      <c r="J810" s="7">
        <v>11987.48</v>
      </c>
    </row>
    <row r="811" spans="1:10" x14ac:dyDescent="0.3">
      <c r="A811" s="3">
        <v>45886</v>
      </c>
      <c r="B811" s="5">
        <v>8</v>
      </c>
      <c r="C811" s="5">
        <v>2025</v>
      </c>
      <c r="D811" s="5">
        <v>3</v>
      </c>
      <c r="E811" t="s">
        <v>37</v>
      </c>
      <c r="F811" t="s">
        <v>17</v>
      </c>
      <c r="G811" t="s">
        <v>40</v>
      </c>
      <c r="H811" t="s">
        <v>56</v>
      </c>
      <c r="I811" s="7">
        <v>-5188.17</v>
      </c>
    </row>
    <row r="812" spans="1:10" x14ac:dyDescent="0.3">
      <c r="A812" s="3">
        <v>45887</v>
      </c>
      <c r="B812" s="5">
        <v>8</v>
      </c>
      <c r="C812" s="5">
        <v>2025</v>
      </c>
      <c r="D812" s="5">
        <v>3</v>
      </c>
      <c r="E812" t="s">
        <v>34</v>
      </c>
      <c r="F812" t="s">
        <v>17</v>
      </c>
      <c r="G812" t="s">
        <v>57</v>
      </c>
      <c r="H812" t="s">
        <v>71</v>
      </c>
      <c r="I812" s="7">
        <v>-7063</v>
      </c>
    </row>
    <row r="813" spans="1:10" x14ac:dyDescent="0.3">
      <c r="A813" s="3">
        <v>45887</v>
      </c>
      <c r="B813" s="5">
        <v>8</v>
      </c>
      <c r="C813" s="5">
        <v>2025</v>
      </c>
      <c r="D813" s="5">
        <v>3</v>
      </c>
      <c r="E813" t="s">
        <v>28</v>
      </c>
      <c r="F813" t="s">
        <v>17</v>
      </c>
      <c r="G813" t="s">
        <v>74</v>
      </c>
      <c r="H813" t="s">
        <v>84</v>
      </c>
      <c r="I813" s="7">
        <v>-10589.51</v>
      </c>
    </row>
    <row r="814" spans="1:10" x14ac:dyDescent="0.3">
      <c r="A814" s="3">
        <v>45887</v>
      </c>
      <c r="B814" s="5">
        <v>8</v>
      </c>
      <c r="C814" s="5">
        <v>2025</v>
      </c>
      <c r="D814" s="5">
        <v>3</v>
      </c>
      <c r="E814" t="s">
        <v>31</v>
      </c>
      <c r="F814" t="s">
        <v>10</v>
      </c>
      <c r="G814" t="s">
        <v>74</v>
      </c>
      <c r="H814" t="s">
        <v>85</v>
      </c>
      <c r="I814" s="7">
        <v>3473.76</v>
      </c>
      <c r="J814" s="7">
        <v>3630.75</v>
      </c>
    </row>
    <row r="815" spans="1:10" x14ac:dyDescent="0.3">
      <c r="A815" s="3">
        <v>45888</v>
      </c>
      <c r="B815" s="5">
        <v>8</v>
      </c>
      <c r="C815" s="5">
        <v>2025</v>
      </c>
      <c r="D815" s="5">
        <v>3</v>
      </c>
      <c r="E815" t="s">
        <v>25</v>
      </c>
      <c r="F815" t="s">
        <v>10</v>
      </c>
      <c r="G815" t="s">
        <v>57</v>
      </c>
      <c r="H815" t="s">
        <v>64</v>
      </c>
      <c r="I815" s="7">
        <v>9202.57</v>
      </c>
      <c r="J815" s="7">
        <v>9340.6200000000008</v>
      </c>
    </row>
    <row r="816" spans="1:10" x14ac:dyDescent="0.3">
      <c r="A816" s="3">
        <v>45889</v>
      </c>
      <c r="B816" s="5">
        <v>8</v>
      </c>
      <c r="C816" s="5">
        <v>2025</v>
      </c>
      <c r="D816" s="5">
        <v>3</v>
      </c>
      <c r="E816" t="s">
        <v>19</v>
      </c>
      <c r="F816" t="s">
        <v>10</v>
      </c>
      <c r="G816" t="s">
        <v>40</v>
      </c>
      <c r="H816" t="s">
        <v>43</v>
      </c>
      <c r="I816" s="7">
        <v>17642.28</v>
      </c>
      <c r="J816" s="7">
        <v>16771.55</v>
      </c>
    </row>
    <row r="817" spans="1:10" x14ac:dyDescent="0.3">
      <c r="A817" s="3">
        <v>45890</v>
      </c>
      <c r="B817" s="5">
        <v>8</v>
      </c>
      <c r="C817" s="5">
        <v>2025</v>
      </c>
      <c r="D817" s="5">
        <v>3</v>
      </c>
      <c r="E817" t="s">
        <v>14</v>
      </c>
      <c r="F817" t="s">
        <v>17</v>
      </c>
      <c r="G817" t="s">
        <v>57</v>
      </c>
      <c r="H817" t="s">
        <v>59</v>
      </c>
      <c r="I817" s="7">
        <v>-26409.17</v>
      </c>
    </row>
    <row r="818" spans="1:10" x14ac:dyDescent="0.3">
      <c r="A818" s="3">
        <v>45890</v>
      </c>
      <c r="B818" s="5">
        <v>8</v>
      </c>
      <c r="C818" s="5">
        <v>2025</v>
      </c>
      <c r="D818" s="5">
        <v>3</v>
      </c>
      <c r="E818" t="s">
        <v>19</v>
      </c>
      <c r="F818" t="s">
        <v>17</v>
      </c>
      <c r="G818" t="s">
        <v>74</v>
      </c>
      <c r="H818" t="s">
        <v>78</v>
      </c>
      <c r="I818" s="7">
        <v>-15314.15</v>
      </c>
    </row>
    <row r="819" spans="1:10" x14ac:dyDescent="0.3">
      <c r="A819" s="3">
        <v>45891</v>
      </c>
      <c r="B819" s="5">
        <v>8</v>
      </c>
      <c r="C819" s="5">
        <v>2025</v>
      </c>
      <c r="D819" s="5">
        <v>3</v>
      </c>
      <c r="E819" t="s">
        <v>25</v>
      </c>
      <c r="F819" t="s">
        <v>17</v>
      </c>
      <c r="G819" t="s">
        <v>40</v>
      </c>
      <c r="H819" t="s">
        <v>48</v>
      </c>
      <c r="I819" s="7">
        <v>-4707.42</v>
      </c>
    </row>
    <row r="820" spans="1:10" x14ac:dyDescent="0.3">
      <c r="A820" s="3">
        <v>45894</v>
      </c>
      <c r="B820" s="5">
        <v>8</v>
      </c>
      <c r="C820" s="5">
        <v>2025</v>
      </c>
      <c r="D820" s="5">
        <v>3</v>
      </c>
      <c r="E820" t="s">
        <v>31</v>
      </c>
      <c r="F820" t="s">
        <v>17</v>
      </c>
      <c r="G820" t="s">
        <v>74</v>
      </c>
      <c r="H820" t="s">
        <v>86</v>
      </c>
      <c r="I820" s="7">
        <v>-1231.21</v>
      </c>
    </row>
    <row r="821" spans="1:10" x14ac:dyDescent="0.3">
      <c r="A821" s="3">
        <v>45895</v>
      </c>
      <c r="B821" s="5">
        <v>8</v>
      </c>
      <c r="C821" s="5">
        <v>2025</v>
      </c>
      <c r="D821" s="5">
        <v>3</v>
      </c>
      <c r="E821" t="s">
        <v>14</v>
      </c>
      <c r="F821" t="s">
        <v>10</v>
      </c>
      <c r="G821" t="s">
        <v>57</v>
      </c>
      <c r="H821" t="s">
        <v>58</v>
      </c>
      <c r="I821" s="7">
        <v>22616.26</v>
      </c>
      <c r="J821" s="7">
        <v>21758.66</v>
      </c>
    </row>
    <row r="822" spans="1:10" x14ac:dyDescent="0.3">
      <c r="A822" s="3">
        <v>45895</v>
      </c>
      <c r="B822" s="5">
        <v>8</v>
      </c>
      <c r="C822" s="5">
        <v>2025</v>
      </c>
      <c r="D822" s="5">
        <v>3</v>
      </c>
      <c r="E822" t="s">
        <v>25</v>
      </c>
      <c r="F822" t="s">
        <v>10</v>
      </c>
      <c r="G822" t="s">
        <v>74</v>
      </c>
      <c r="H822" t="s">
        <v>81</v>
      </c>
      <c r="I822" s="7">
        <v>7765.96</v>
      </c>
      <c r="J822" s="7">
        <v>8513.34</v>
      </c>
    </row>
    <row r="823" spans="1:10" x14ac:dyDescent="0.3">
      <c r="A823" s="3">
        <v>45896</v>
      </c>
      <c r="B823" s="5">
        <v>8</v>
      </c>
      <c r="C823" s="5">
        <v>2025</v>
      </c>
      <c r="D823" s="5">
        <v>3</v>
      </c>
      <c r="E823" t="s">
        <v>22</v>
      </c>
      <c r="F823" t="s">
        <v>10</v>
      </c>
      <c r="G823" t="s">
        <v>15</v>
      </c>
      <c r="H823" t="s">
        <v>23</v>
      </c>
      <c r="I823" s="7">
        <v>27716.69</v>
      </c>
      <c r="J823" s="7">
        <v>29343.55</v>
      </c>
    </row>
    <row r="824" spans="1:10" x14ac:dyDescent="0.3">
      <c r="A824" s="3">
        <v>45896</v>
      </c>
      <c r="B824" s="5">
        <v>8</v>
      </c>
      <c r="C824" s="5">
        <v>2025</v>
      </c>
      <c r="D824" s="5">
        <v>3</v>
      </c>
      <c r="E824" t="s">
        <v>14</v>
      </c>
      <c r="F824" t="s">
        <v>10</v>
      </c>
      <c r="G824" t="s">
        <v>40</v>
      </c>
      <c r="H824" t="s">
        <v>41</v>
      </c>
      <c r="I824" s="7">
        <v>23971.14</v>
      </c>
      <c r="J824" s="7">
        <v>23153.67</v>
      </c>
    </row>
    <row r="825" spans="1:10" x14ac:dyDescent="0.3">
      <c r="A825" s="3">
        <v>45896</v>
      </c>
      <c r="B825" s="5">
        <v>8</v>
      </c>
      <c r="C825" s="5">
        <v>2025</v>
      </c>
      <c r="D825" s="5">
        <v>3</v>
      </c>
      <c r="E825" t="s">
        <v>37</v>
      </c>
      <c r="F825" t="s">
        <v>10</v>
      </c>
      <c r="G825" t="s">
        <v>57</v>
      </c>
      <c r="H825" t="s">
        <v>72</v>
      </c>
      <c r="I825" s="7">
        <v>5469.51</v>
      </c>
      <c r="J825" s="7">
        <v>5190.3599999999997</v>
      </c>
    </row>
    <row r="826" spans="1:10" x14ac:dyDescent="0.3">
      <c r="A826" s="3">
        <v>45896</v>
      </c>
      <c r="B826" s="5">
        <v>8</v>
      </c>
      <c r="C826" s="5">
        <v>2025</v>
      </c>
      <c r="D826" s="5">
        <v>3</v>
      </c>
      <c r="E826" t="s">
        <v>22</v>
      </c>
      <c r="F826" t="s">
        <v>10</v>
      </c>
      <c r="G826" t="s">
        <v>74</v>
      </c>
      <c r="H826" t="s">
        <v>79</v>
      </c>
      <c r="I826" s="7">
        <v>17593.169999999998</v>
      </c>
      <c r="J826" s="7">
        <v>19163.78</v>
      </c>
    </row>
    <row r="827" spans="1:10" x14ac:dyDescent="0.3">
      <c r="A827" s="3">
        <v>45898</v>
      </c>
      <c r="B827" s="5">
        <v>8</v>
      </c>
      <c r="C827" s="5">
        <v>2025</v>
      </c>
      <c r="D827" s="5">
        <v>3</v>
      </c>
      <c r="E827" t="s">
        <v>19</v>
      </c>
      <c r="F827" t="s">
        <v>10</v>
      </c>
      <c r="G827" t="s">
        <v>57</v>
      </c>
      <c r="H827" t="s">
        <v>60</v>
      </c>
      <c r="I827" s="7">
        <v>22447.4</v>
      </c>
      <c r="J827" s="7">
        <v>21083.85</v>
      </c>
    </row>
    <row r="828" spans="1:10" x14ac:dyDescent="0.3">
      <c r="A828" s="3">
        <v>45898</v>
      </c>
      <c r="B828" s="5">
        <v>8</v>
      </c>
      <c r="C828" s="5">
        <v>2025</v>
      </c>
      <c r="D828" s="5">
        <v>3</v>
      </c>
      <c r="E828" t="s">
        <v>28</v>
      </c>
      <c r="F828" t="s">
        <v>10</v>
      </c>
      <c r="G828" t="s">
        <v>57</v>
      </c>
      <c r="H828" t="s">
        <v>66</v>
      </c>
      <c r="I828" s="7">
        <v>14386.58</v>
      </c>
      <c r="J828" s="7">
        <v>13513.31</v>
      </c>
    </row>
    <row r="829" spans="1:10" x14ac:dyDescent="0.3">
      <c r="A829" s="3">
        <v>45898</v>
      </c>
      <c r="B829" s="5">
        <v>8</v>
      </c>
      <c r="C829" s="5">
        <v>2025</v>
      </c>
      <c r="D829" s="5">
        <v>3</v>
      </c>
      <c r="E829" t="s">
        <v>22</v>
      </c>
      <c r="F829" t="s">
        <v>17</v>
      </c>
      <c r="G829" t="s">
        <v>74</v>
      </c>
      <c r="H829" t="s">
        <v>80</v>
      </c>
      <c r="I829" s="7">
        <v>-25996.58</v>
      </c>
    </row>
    <row r="830" spans="1:10" x14ac:dyDescent="0.3">
      <c r="A830" s="3">
        <v>45899</v>
      </c>
      <c r="B830" s="5">
        <v>8</v>
      </c>
      <c r="C830" s="5">
        <v>2025</v>
      </c>
      <c r="D830" s="5">
        <v>3</v>
      </c>
      <c r="E830" t="s">
        <v>25</v>
      </c>
      <c r="F830" t="s">
        <v>10</v>
      </c>
      <c r="G830" t="s">
        <v>15</v>
      </c>
      <c r="H830" t="s">
        <v>26</v>
      </c>
      <c r="I830" s="7">
        <v>8425.09</v>
      </c>
      <c r="J830" s="7">
        <v>8256.0499999999993</v>
      </c>
    </row>
    <row r="831" spans="1:10" x14ac:dyDescent="0.3">
      <c r="A831" s="3">
        <v>45900</v>
      </c>
      <c r="B831" s="5">
        <v>8</v>
      </c>
      <c r="C831" s="5">
        <v>2025</v>
      </c>
      <c r="D831" s="5">
        <v>3</v>
      </c>
      <c r="E831" t="s">
        <v>28</v>
      </c>
      <c r="F831" t="s">
        <v>10</v>
      </c>
      <c r="G831" t="s">
        <v>15</v>
      </c>
      <c r="H831" t="s">
        <v>29</v>
      </c>
      <c r="I831" s="7">
        <v>16053.92</v>
      </c>
      <c r="J831" s="7">
        <v>17618.04</v>
      </c>
    </row>
    <row r="832" spans="1:10" x14ac:dyDescent="0.3">
      <c r="A832" s="3">
        <v>45900</v>
      </c>
      <c r="B832" s="5">
        <v>8</v>
      </c>
      <c r="C832" s="5">
        <v>2025</v>
      </c>
      <c r="D832" s="5">
        <v>3</v>
      </c>
      <c r="E832" t="s">
        <v>22</v>
      </c>
      <c r="F832" t="s">
        <v>17</v>
      </c>
      <c r="G832" t="s">
        <v>57</v>
      </c>
      <c r="H832" t="s">
        <v>63</v>
      </c>
      <c r="I832" s="7">
        <v>-20790.580000000002</v>
      </c>
    </row>
    <row r="833" spans="1:10" x14ac:dyDescent="0.3">
      <c r="A833" s="3">
        <v>45900</v>
      </c>
      <c r="B833" s="5">
        <v>8</v>
      </c>
      <c r="C833" s="5">
        <v>2025</v>
      </c>
      <c r="D833" s="5">
        <v>3</v>
      </c>
      <c r="E833" t="s">
        <v>14</v>
      </c>
      <c r="F833" t="s">
        <v>17</v>
      </c>
      <c r="G833" t="s">
        <v>74</v>
      </c>
      <c r="H833" t="s">
        <v>76</v>
      </c>
      <c r="I833" s="7">
        <v>-29590.16</v>
      </c>
    </row>
    <row r="834" spans="1:10" x14ac:dyDescent="0.3">
      <c r="A834" s="3">
        <v>45902</v>
      </c>
      <c r="B834" s="5">
        <v>9</v>
      </c>
      <c r="C834" s="5">
        <v>2025</v>
      </c>
      <c r="D834" s="5">
        <v>3</v>
      </c>
      <c r="E834" t="s">
        <v>28</v>
      </c>
      <c r="F834" t="s">
        <v>17</v>
      </c>
      <c r="G834" t="s">
        <v>15</v>
      </c>
      <c r="H834" t="s">
        <v>30</v>
      </c>
      <c r="I834" s="7">
        <v>-15210.45</v>
      </c>
    </row>
    <row r="835" spans="1:10" x14ac:dyDescent="0.3">
      <c r="A835" s="3">
        <v>45903</v>
      </c>
      <c r="B835" s="5">
        <v>9</v>
      </c>
      <c r="C835" s="5">
        <v>2025</v>
      </c>
      <c r="D835" s="5">
        <v>3</v>
      </c>
      <c r="E835" t="s">
        <v>22</v>
      </c>
      <c r="F835" t="s">
        <v>10</v>
      </c>
      <c r="G835" t="s">
        <v>57</v>
      </c>
      <c r="H835" t="s">
        <v>62</v>
      </c>
      <c r="I835" s="7">
        <v>27620.26</v>
      </c>
      <c r="J835" s="7">
        <v>25825</v>
      </c>
    </row>
    <row r="836" spans="1:10" x14ac:dyDescent="0.3">
      <c r="A836" s="3">
        <v>45903</v>
      </c>
      <c r="B836" s="5">
        <v>9</v>
      </c>
      <c r="C836" s="5">
        <v>2025</v>
      </c>
      <c r="D836" s="5">
        <v>3</v>
      </c>
      <c r="E836" t="s">
        <v>28</v>
      </c>
      <c r="F836" t="s">
        <v>10</v>
      </c>
      <c r="G836" t="s">
        <v>57</v>
      </c>
      <c r="H836" t="s">
        <v>66</v>
      </c>
      <c r="I836" s="7">
        <v>19153.75</v>
      </c>
      <c r="J836" s="7">
        <v>21031.42</v>
      </c>
    </row>
    <row r="837" spans="1:10" x14ac:dyDescent="0.3">
      <c r="A837" s="3">
        <v>45903</v>
      </c>
      <c r="B837" s="5">
        <v>9</v>
      </c>
      <c r="C837" s="5">
        <v>2025</v>
      </c>
      <c r="D837" s="5">
        <v>3</v>
      </c>
      <c r="E837" t="s">
        <v>14</v>
      </c>
      <c r="F837" t="s">
        <v>17</v>
      </c>
      <c r="G837" t="s">
        <v>74</v>
      </c>
      <c r="H837" t="s">
        <v>76</v>
      </c>
      <c r="I837" s="7">
        <v>-10062.18</v>
      </c>
    </row>
    <row r="838" spans="1:10" x14ac:dyDescent="0.3">
      <c r="A838" s="3">
        <v>45904</v>
      </c>
      <c r="B838" s="5">
        <v>9</v>
      </c>
      <c r="C838" s="5">
        <v>2025</v>
      </c>
      <c r="D838" s="5">
        <v>3</v>
      </c>
      <c r="E838" t="s">
        <v>31</v>
      </c>
      <c r="F838" t="s">
        <v>17</v>
      </c>
      <c r="G838" t="s">
        <v>15</v>
      </c>
      <c r="H838" t="s">
        <v>33</v>
      </c>
      <c r="I838" s="7">
        <v>-7011.74</v>
      </c>
    </row>
    <row r="839" spans="1:10" x14ac:dyDescent="0.3">
      <c r="A839" s="3">
        <v>45904</v>
      </c>
      <c r="B839" s="5">
        <v>9</v>
      </c>
      <c r="C839" s="5">
        <v>2025</v>
      </c>
      <c r="D839" s="5">
        <v>3</v>
      </c>
      <c r="E839" t="s">
        <v>37</v>
      </c>
      <c r="F839" t="s">
        <v>17</v>
      </c>
      <c r="G839" t="s">
        <v>40</v>
      </c>
      <c r="H839" t="s">
        <v>56</v>
      </c>
      <c r="I839" s="7">
        <v>-2067.64</v>
      </c>
    </row>
    <row r="840" spans="1:10" x14ac:dyDescent="0.3">
      <c r="A840" s="3">
        <v>45904</v>
      </c>
      <c r="B840" s="5">
        <v>9</v>
      </c>
      <c r="C840" s="5">
        <v>2025</v>
      </c>
      <c r="D840" s="5">
        <v>3</v>
      </c>
      <c r="E840" t="s">
        <v>34</v>
      </c>
      <c r="F840" t="s">
        <v>10</v>
      </c>
      <c r="G840" t="s">
        <v>74</v>
      </c>
      <c r="H840" t="s">
        <v>87</v>
      </c>
      <c r="I840" s="7">
        <v>10800.85</v>
      </c>
      <c r="J840" s="7">
        <v>10227.959999999999</v>
      </c>
    </row>
    <row r="841" spans="1:10" x14ac:dyDescent="0.3">
      <c r="A841" s="3">
        <v>45905</v>
      </c>
      <c r="B841" s="5">
        <v>9</v>
      </c>
      <c r="C841" s="5">
        <v>2025</v>
      </c>
      <c r="D841" s="5">
        <v>3</v>
      </c>
      <c r="E841" t="s">
        <v>37</v>
      </c>
      <c r="F841" t="s">
        <v>10</v>
      </c>
      <c r="G841" t="s">
        <v>40</v>
      </c>
      <c r="H841" t="s">
        <v>55</v>
      </c>
      <c r="I841" s="7">
        <v>6835.87</v>
      </c>
      <c r="J841" s="7">
        <v>6673.3</v>
      </c>
    </row>
    <row r="842" spans="1:10" x14ac:dyDescent="0.3">
      <c r="A842" s="3">
        <v>45906</v>
      </c>
      <c r="B842" s="5">
        <v>9</v>
      </c>
      <c r="C842" s="5">
        <v>2025</v>
      </c>
      <c r="D842" s="5">
        <v>3</v>
      </c>
      <c r="E842" t="s">
        <v>34</v>
      </c>
      <c r="F842" t="s">
        <v>10</v>
      </c>
      <c r="G842" t="s">
        <v>57</v>
      </c>
      <c r="H842" t="s">
        <v>70</v>
      </c>
      <c r="I842" s="7">
        <v>10720.34</v>
      </c>
      <c r="J842" s="7">
        <v>10875.21</v>
      </c>
    </row>
    <row r="843" spans="1:10" x14ac:dyDescent="0.3">
      <c r="A843" s="3">
        <v>45906</v>
      </c>
      <c r="B843" s="5">
        <v>9</v>
      </c>
      <c r="C843" s="5">
        <v>2025</v>
      </c>
      <c r="D843" s="5">
        <v>3</v>
      </c>
      <c r="E843" t="s">
        <v>14</v>
      </c>
      <c r="F843" t="s">
        <v>10</v>
      </c>
      <c r="G843" t="s">
        <v>74</v>
      </c>
      <c r="H843" t="s">
        <v>75</v>
      </c>
      <c r="I843" s="7">
        <v>29562.93</v>
      </c>
      <c r="J843" s="7">
        <v>29644.21</v>
      </c>
    </row>
    <row r="844" spans="1:10" x14ac:dyDescent="0.3">
      <c r="A844" s="3">
        <v>45906</v>
      </c>
      <c r="B844" s="5">
        <v>9</v>
      </c>
      <c r="C844" s="5">
        <v>2025</v>
      </c>
      <c r="D844" s="5">
        <v>3</v>
      </c>
      <c r="E844" t="s">
        <v>34</v>
      </c>
      <c r="F844" t="s">
        <v>17</v>
      </c>
      <c r="G844" t="s">
        <v>74</v>
      </c>
      <c r="H844" t="s">
        <v>88</v>
      </c>
      <c r="I844" s="7">
        <v>-11709.22</v>
      </c>
    </row>
    <row r="845" spans="1:10" x14ac:dyDescent="0.3">
      <c r="A845" s="3">
        <v>45908</v>
      </c>
      <c r="B845" s="5">
        <v>9</v>
      </c>
      <c r="C845" s="5">
        <v>2025</v>
      </c>
      <c r="D845" s="5">
        <v>3</v>
      </c>
      <c r="E845" t="s">
        <v>19</v>
      </c>
      <c r="F845" t="s">
        <v>10</v>
      </c>
      <c r="G845" t="s">
        <v>40</v>
      </c>
      <c r="H845" t="s">
        <v>43</v>
      </c>
      <c r="I845" s="7">
        <v>18157.2</v>
      </c>
      <c r="J845" s="7">
        <v>17385.099999999999</v>
      </c>
    </row>
    <row r="846" spans="1:10" x14ac:dyDescent="0.3">
      <c r="A846" s="3">
        <v>45908</v>
      </c>
      <c r="B846" s="5">
        <v>9</v>
      </c>
      <c r="C846" s="5">
        <v>2025</v>
      </c>
      <c r="D846" s="5">
        <v>3</v>
      </c>
      <c r="E846" t="s">
        <v>28</v>
      </c>
      <c r="F846" t="s">
        <v>17</v>
      </c>
      <c r="G846" t="s">
        <v>40</v>
      </c>
      <c r="H846" t="s">
        <v>50</v>
      </c>
      <c r="I846" s="7">
        <v>-5449.73</v>
      </c>
    </row>
    <row r="847" spans="1:10" x14ac:dyDescent="0.3">
      <c r="A847" s="3">
        <v>45908</v>
      </c>
      <c r="B847" s="5">
        <v>9</v>
      </c>
      <c r="C847" s="5">
        <v>2025</v>
      </c>
      <c r="D847" s="5">
        <v>3</v>
      </c>
      <c r="E847" t="s">
        <v>22</v>
      </c>
      <c r="F847" t="s">
        <v>17</v>
      </c>
      <c r="G847" t="s">
        <v>74</v>
      </c>
      <c r="H847" t="s">
        <v>80</v>
      </c>
      <c r="I847" s="7">
        <v>-15142.04</v>
      </c>
    </row>
    <row r="848" spans="1:10" x14ac:dyDescent="0.3">
      <c r="A848" s="3">
        <v>45909</v>
      </c>
      <c r="B848" s="5">
        <v>9</v>
      </c>
      <c r="C848" s="5">
        <v>2025</v>
      </c>
      <c r="D848" s="5">
        <v>3</v>
      </c>
      <c r="E848" t="s">
        <v>31</v>
      </c>
      <c r="F848" t="s">
        <v>10</v>
      </c>
      <c r="G848" t="s">
        <v>15</v>
      </c>
      <c r="H848" t="s">
        <v>32</v>
      </c>
      <c r="I848" s="7">
        <v>5469.15</v>
      </c>
      <c r="J848" s="7">
        <v>5522.2</v>
      </c>
    </row>
    <row r="849" spans="1:10" x14ac:dyDescent="0.3">
      <c r="A849" s="3">
        <v>45910</v>
      </c>
      <c r="B849" s="5">
        <v>9</v>
      </c>
      <c r="C849" s="5">
        <v>2025</v>
      </c>
      <c r="D849" s="5">
        <v>3</v>
      </c>
      <c r="E849" t="s">
        <v>37</v>
      </c>
      <c r="F849" t="s">
        <v>10</v>
      </c>
      <c r="G849" t="s">
        <v>57</v>
      </c>
      <c r="H849" t="s">
        <v>72</v>
      </c>
      <c r="I849" s="7">
        <v>6928.43</v>
      </c>
      <c r="J849" s="7">
        <v>6912.72</v>
      </c>
    </row>
    <row r="850" spans="1:10" x14ac:dyDescent="0.3">
      <c r="A850" s="3">
        <v>45911</v>
      </c>
      <c r="B850" s="5">
        <v>9</v>
      </c>
      <c r="C850" s="5">
        <v>2025</v>
      </c>
      <c r="D850" s="5">
        <v>3</v>
      </c>
      <c r="E850" t="s">
        <v>37</v>
      </c>
      <c r="F850" t="s">
        <v>10</v>
      </c>
      <c r="G850" t="s">
        <v>15</v>
      </c>
      <c r="H850" t="s">
        <v>38</v>
      </c>
      <c r="I850" s="7">
        <v>5448.63</v>
      </c>
      <c r="J850" s="7">
        <v>5304.85</v>
      </c>
    </row>
    <row r="851" spans="1:10" x14ac:dyDescent="0.3">
      <c r="A851" s="3">
        <v>45911</v>
      </c>
      <c r="B851" s="5">
        <v>9</v>
      </c>
      <c r="C851" s="5">
        <v>2025</v>
      </c>
      <c r="D851" s="5">
        <v>3</v>
      </c>
      <c r="E851" t="s">
        <v>25</v>
      </c>
      <c r="F851" t="s">
        <v>10</v>
      </c>
      <c r="G851" t="s">
        <v>57</v>
      </c>
      <c r="H851" t="s">
        <v>64</v>
      </c>
      <c r="I851" s="7">
        <v>9440.7099999999991</v>
      </c>
      <c r="J851" s="7">
        <v>9309.39</v>
      </c>
    </row>
    <row r="852" spans="1:10" x14ac:dyDescent="0.3">
      <c r="A852" s="3">
        <v>45911</v>
      </c>
      <c r="B852" s="5">
        <v>9</v>
      </c>
      <c r="C852" s="5">
        <v>2025</v>
      </c>
      <c r="D852" s="5">
        <v>3</v>
      </c>
      <c r="E852" t="s">
        <v>31</v>
      </c>
      <c r="F852" t="s">
        <v>17</v>
      </c>
      <c r="G852" t="s">
        <v>74</v>
      </c>
      <c r="H852" t="s">
        <v>86</v>
      </c>
      <c r="I852" s="7">
        <v>-2693.93</v>
      </c>
    </row>
    <row r="853" spans="1:10" x14ac:dyDescent="0.3">
      <c r="A853" s="3">
        <v>45911</v>
      </c>
      <c r="B853" s="5">
        <v>9</v>
      </c>
      <c r="C853" s="5">
        <v>2025</v>
      </c>
      <c r="D853" s="5">
        <v>3</v>
      </c>
      <c r="E853" t="s">
        <v>37</v>
      </c>
      <c r="F853" t="s">
        <v>10</v>
      </c>
      <c r="G853" t="s">
        <v>74</v>
      </c>
      <c r="H853" t="s">
        <v>89</v>
      </c>
      <c r="I853" s="7">
        <v>6129.09</v>
      </c>
      <c r="J853" s="7">
        <v>5797.07</v>
      </c>
    </row>
    <row r="854" spans="1:10" x14ac:dyDescent="0.3">
      <c r="A854" s="3">
        <v>45912</v>
      </c>
      <c r="B854" s="5">
        <v>9</v>
      </c>
      <c r="C854" s="5">
        <v>2025</v>
      </c>
      <c r="D854" s="5">
        <v>3</v>
      </c>
      <c r="E854" t="s">
        <v>31</v>
      </c>
      <c r="F854" t="s">
        <v>10</v>
      </c>
      <c r="G854" t="s">
        <v>74</v>
      </c>
      <c r="H854" t="s">
        <v>85</v>
      </c>
      <c r="I854" s="7">
        <v>3628.86</v>
      </c>
      <c r="J854" s="7">
        <v>3883.21</v>
      </c>
    </row>
    <row r="855" spans="1:10" x14ac:dyDescent="0.3">
      <c r="A855" s="3">
        <v>45913</v>
      </c>
      <c r="B855" s="5">
        <v>9</v>
      </c>
      <c r="C855" s="5">
        <v>2025</v>
      </c>
      <c r="D855" s="5">
        <v>3</v>
      </c>
      <c r="E855" t="s">
        <v>22</v>
      </c>
      <c r="F855" t="s">
        <v>17</v>
      </c>
      <c r="G855" t="s">
        <v>40</v>
      </c>
      <c r="H855" t="s">
        <v>46</v>
      </c>
      <c r="I855" s="7">
        <v>-21074.61</v>
      </c>
    </row>
    <row r="856" spans="1:10" x14ac:dyDescent="0.3">
      <c r="A856" s="3">
        <v>45914</v>
      </c>
      <c r="B856" s="5">
        <v>9</v>
      </c>
      <c r="C856" s="5">
        <v>2025</v>
      </c>
      <c r="D856" s="5">
        <v>3</v>
      </c>
      <c r="E856" t="s">
        <v>19</v>
      </c>
      <c r="F856" t="s">
        <v>10</v>
      </c>
      <c r="G856" t="s">
        <v>57</v>
      </c>
      <c r="H856" t="s">
        <v>60</v>
      </c>
      <c r="I856" s="7">
        <v>21119.15</v>
      </c>
      <c r="J856" s="7">
        <v>20310.349999999999</v>
      </c>
    </row>
    <row r="857" spans="1:10" x14ac:dyDescent="0.3">
      <c r="A857" s="3">
        <v>45916</v>
      </c>
      <c r="B857" s="5">
        <v>9</v>
      </c>
      <c r="C857" s="5">
        <v>2025</v>
      </c>
      <c r="D857" s="5">
        <v>3</v>
      </c>
      <c r="E857" t="s">
        <v>19</v>
      </c>
      <c r="F857" t="s">
        <v>17</v>
      </c>
      <c r="G857" t="s">
        <v>15</v>
      </c>
      <c r="H857" t="s">
        <v>21</v>
      </c>
      <c r="I857" s="7">
        <v>-27105.23</v>
      </c>
    </row>
    <row r="858" spans="1:10" x14ac:dyDescent="0.3">
      <c r="A858" s="3">
        <v>45916</v>
      </c>
      <c r="B858" s="5">
        <v>9</v>
      </c>
      <c r="C858" s="5">
        <v>2025</v>
      </c>
      <c r="D858" s="5">
        <v>3</v>
      </c>
      <c r="E858" t="s">
        <v>28</v>
      </c>
      <c r="F858" t="s">
        <v>10</v>
      </c>
      <c r="G858" t="s">
        <v>15</v>
      </c>
      <c r="H858" t="s">
        <v>29</v>
      </c>
      <c r="I858" s="7">
        <v>18331.740000000002</v>
      </c>
      <c r="J858" s="7">
        <v>18839.32</v>
      </c>
    </row>
    <row r="859" spans="1:10" x14ac:dyDescent="0.3">
      <c r="A859" s="3">
        <v>45916</v>
      </c>
      <c r="B859" s="5">
        <v>9</v>
      </c>
      <c r="C859" s="5">
        <v>2025</v>
      </c>
      <c r="D859" s="5">
        <v>3</v>
      </c>
      <c r="E859" t="s">
        <v>37</v>
      </c>
      <c r="F859" t="s">
        <v>17</v>
      </c>
      <c r="G859" t="s">
        <v>15</v>
      </c>
      <c r="H859" t="s">
        <v>39</v>
      </c>
      <c r="I859" s="7">
        <v>-3243.97</v>
      </c>
    </row>
    <row r="860" spans="1:10" x14ac:dyDescent="0.3">
      <c r="A860" s="3">
        <v>45916</v>
      </c>
      <c r="B860" s="5">
        <v>9</v>
      </c>
      <c r="C860" s="5">
        <v>2025</v>
      </c>
      <c r="D860" s="5">
        <v>3</v>
      </c>
      <c r="E860" t="s">
        <v>34</v>
      </c>
      <c r="F860" t="s">
        <v>10</v>
      </c>
      <c r="G860" t="s">
        <v>40</v>
      </c>
      <c r="H860" t="s">
        <v>53</v>
      </c>
      <c r="I860" s="7">
        <v>13054.21</v>
      </c>
      <c r="J860" s="7">
        <v>14129.85</v>
      </c>
    </row>
    <row r="861" spans="1:10" x14ac:dyDescent="0.3">
      <c r="A861" s="3">
        <v>45916</v>
      </c>
      <c r="B861" s="5">
        <v>9</v>
      </c>
      <c r="C861" s="5">
        <v>2025</v>
      </c>
      <c r="D861" s="5">
        <v>3</v>
      </c>
      <c r="E861" t="s">
        <v>28</v>
      </c>
      <c r="F861" t="s">
        <v>10</v>
      </c>
      <c r="G861" t="s">
        <v>74</v>
      </c>
      <c r="H861" t="s">
        <v>83</v>
      </c>
      <c r="I861" s="7">
        <v>17717.560000000001</v>
      </c>
      <c r="J861" s="7">
        <v>17742.080000000002</v>
      </c>
    </row>
    <row r="862" spans="1:10" x14ac:dyDescent="0.3">
      <c r="A862" s="3">
        <v>45917</v>
      </c>
      <c r="B862" s="5">
        <v>9</v>
      </c>
      <c r="C862" s="5">
        <v>2025</v>
      </c>
      <c r="D862" s="5">
        <v>3</v>
      </c>
      <c r="E862" t="s">
        <v>14</v>
      </c>
      <c r="F862" t="s">
        <v>10</v>
      </c>
      <c r="G862" t="s">
        <v>15</v>
      </c>
      <c r="H862" t="s">
        <v>16</v>
      </c>
      <c r="I862" s="7">
        <v>25535.35</v>
      </c>
      <c r="J862" s="7">
        <v>26257.360000000001</v>
      </c>
    </row>
    <row r="863" spans="1:10" x14ac:dyDescent="0.3">
      <c r="A863" s="3">
        <v>45917</v>
      </c>
      <c r="B863" s="5">
        <v>9</v>
      </c>
      <c r="C863" s="5">
        <v>2025</v>
      </c>
      <c r="D863" s="5">
        <v>3</v>
      </c>
      <c r="E863" t="s">
        <v>22</v>
      </c>
      <c r="F863" t="s">
        <v>17</v>
      </c>
      <c r="G863" t="s">
        <v>57</v>
      </c>
      <c r="H863" t="s">
        <v>63</v>
      </c>
      <c r="I863" s="7">
        <v>-29901.68</v>
      </c>
    </row>
    <row r="864" spans="1:10" x14ac:dyDescent="0.3">
      <c r="A864" s="3">
        <v>45918</v>
      </c>
      <c r="B864" s="5">
        <v>9</v>
      </c>
      <c r="C864" s="5">
        <v>2025</v>
      </c>
      <c r="D864" s="5">
        <v>3</v>
      </c>
      <c r="E864" t="s">
        <v>34</v>
      </c>
      <c r="F864" t="s">
        <v>17</v>
      </c>
      <c r="G864" t="s">
        <v>57</v>
      </c>
      <c r="H864" t="s">
        <v>71</v>
      </c>
      <c r="I864" s="7">
        <v>-5688.19</v>
      </c>
    </row>
    <row r="865" spans="1:10" x14ac:dyDescent="0.3">
      <c r="A865" s="3">
        <v>45919</v>
      </c>
      <c r="B865" s="5">
        <v>9</v>
      </c>
      <c r="C865" s="5">
        <v>2025</v>
      </c>
      <c r="D865" s="5">
        <v>3</v>
      </c>
      <c r="E865" t="s">
        <v>19</v>
      </c>
      <c r="F865" t="s">
        <v>10</v>
      </c>
      <c r="G865" t="s">
        <v>15</v>
      </c>
      <c r="H865" t="s">
        <v>20</v>
      </c>
      <c r="I865" s="7">
        <v>22886.21</v>
      </c>
      <c r="J865" s="7">
        <v>21629.19</v>
      </c>
    </row>
    <row r="866" spans="1:10" x14ac:dyDescent="0.3">
      <c r="A866" s="3">
        <v>45919</v>
      </c>
      <c r="B866" s="5">
        <v>9</v>
      </c>
      <c r="C866" s="5">
        <v>2025</v>
      </c>
      <c r="D866" s="5">
        <v>3</v>
      </c>
      <c r="E866" t="s">
        <v>34</v>
      </c>
      <c r="F866" t="s">
        <v>10</v>
      </c>
      <c r="G866" t="s">
        <v>15</v>
      </c>
      <c r="H866" t="s">
        <v>35</v>
      </c>
      <c r="I866" s="7">
        <v>15768.45</v>
      </c>
      <c r="J866" s="7">
        <v>15088.01</v>
      </c>
    </row>
    <row r="867" spans="1:10" x14ac:dyDescent="0.3">
      <c r="A867" s="3">
        <v>45919</v>
      </c>
      <c r="B867" s="5">
        <v>9</v>
      </c>
      <c r="C867" s="5">
        <v>2025</v>
      </c>
      <c r="D867" s="5">
        <v>3</v>
      </c>
      <c r="E867" t="s">
        <v>34</v>
      </c>
      <c r="F867" t="s">
        <v>17</v>
      </c>
      <c r="G867" t="s">
        <v>15</v>
      </c>
      <c r="H867" t="s">
        <v>36</v>
      </c>
      <c r="I867" s="7">
        <v>-6722.71</v>
      </c>
    </row>
    <row r="868" spans="1:10" x14ac:dyDescent="0.3">
      <c r="A868" s="3">
        <v>45919</v>
      </c>
      <c r="B868" s="5">
        <v>9</v>
      </c>
      <c r="C868" s="5">
        <v>2025</v>
      </c>
      <c r="D868" s="5">
        <v>3</v>
      </c>
      <c r="E868" t="s">
        <v>25</v>
      </c>
      <c r="F868" t="s">
        <v>17</v>
      </c>
      <c r="G868" t="s">
        <v>57</v>
      </c>
      <c r="H868" t="s">
        <v>65</v>
      </c>
      <c r="I868" s="7">
        <v>-8378.4699999999993</v>
      </c>
    </row>
    <row r="869" spans="1:10" x14ac:dyDescent="0.3">
      <c r="A869" s="3">
        <v>45920</v>
      </c>
      <c r="B869" s="5">
        <v>9</v>
      </c>
      <c r="C869" s="5">
        <v>2025</v>
      </c>
      <c r="D869" s="5">
        <v>3</v>
      </c>
      <c r="E869" t="s">
        <v>14</v>
      </c>
      <c r="F869" t="s">
        <v>17</v>
      </c>
      <c r="G869" t="s">
        <v>40</v>
      </c>
      <c r="H869" t="s">
        <v>42</v>
      </c>
      <c r="I869" s="7">
        <v>-16791.46</v>
      </c>
    </row>
    <row r="870" spans="1:10" x14ac:dyDescent="0.3">
      <c r="A870" s="3">
        <v>45920</v>
      </c>
      <c r="B870" s="5">
        <v>9</v>
      </c>
      <c r="C870" s="5">
        <v>2025</v>
      </c>
      <c r="D870" s="5">
        <v>3</v>
      </c>
      <c r="E870" t="s">
        <v>34</v>
      </c>
      <c r="F870" t="s">
        <v>17</v>
      </c>
      <c r="G870" t="s">
        <v>40</v>
      </c>
      <c r="H870" t="s">
        <v>54</v>
      </c>
      <c r="I870" s="7">
        <v>-10674.24</v>
      </c>
    </row>
    <row r="871" spans="1:10" x14ac:dyDescent="0.3">
      <c r="A871" s="3">
        <v>45921</v>
      </c>
      <c r="B871" s="5">
        <v>9</v>
      </c>
      <c r="C871" s="5">
        <v>2025</v>
      </c>
      <c r="D871" s="5">
        <v>3</v>
      </c>
      <c r="E871" t="s">
        <v>25</v>
      </c>
      <c r="F871" t="s">
        <v>17</v>
      </c>
      <c r="G871" t="s">
        <v>15</v>
      </c>
      <c r="H871" t="s">
        <v>27</v>
      </c>
      <c r="I871" s="7">
        <v>-8420.75</v>
      </c>
    </row>
    <row r="872" spans="1:10" x14ac:dyDescent="0.3">
      <c r="A872" s="3">
        <v>45921</v>
      </c>
      <c r="B872" s="5">
        <v>9</v>
      </c>
      <c r="C872" s="5">
        <v>2025</v>
      </c>
      <c r="D872" s="5">
        <v>3</v>
      </c>
      <c r="E872" t="s">
        <v>14</v>
      </c>
      <c r="F872" t="s">
        <v>17</v>
      </c>
      <c r="G872" t="s">
        <v>57</v>
      </c>
      <c r="H872" t="s">
        <v>59</v>
      </c>
      <c r="I872" s="7">
        <v>-18820.97</v>
      </c>
    </row>
    <row r="873" spans="1:10" x14ac:dyDescent="0.3">
      <c r="A873" s="3">
        <v>45921</v>
      </c>
      <c r="B873" s="5">
        <v>9</v>
      </c>
      <c r="C873" s="5">
        <v>2025</v>
      </c>
      <c r="D873" s="5">
        <v>3</v>
      </c>
      <c r="E873" t="s">
        <v>31</v>
      </c>
      <c r="F873" t="s">
        <v>10</v>
      </c>
      <c r="G873" t="s">
        <v>57</v>
      </c>
      <c r="H873" t="s">
        <v>68</v>
      </c>
      <c r="I873" s="7">
        <v>4846.74</v>
      </c>
      <c r="J873" s="7">
        <v>4998.08</v>
      </c>
    </row>
    <row r="874" spans="1:10" x14ac:dyDescent="0.3">
      <c r="A874" s="3">
        <v>45921</v>
      </c>
      <c r="B874" s="5">
        <v>9</v>
      </c>
      <c r="C874" s="5">
        <v>2025</v>
      </c>
      <c r="D874" s="5">
        <v>3</v>
      </c>
      <c r="E874" t="s">
        <v>31</v>
      </c>
      <c r="F874" t="s">
        <v>17</v>
      </c>
      <c r="G874" t="s">
        <v>57</v>
      </c>
      <c r="H874" t="s">
        <v>69</v>
      </c>
      <c r="I874" s="7">
        <v>-3751.37</v>
      </c>
    </row>
    <row r="875" spans="1:10" x14ac:dyDescent="0.3">
      <c r="A875" s="3">
        <v>45922</v>
      </c>
      <c r="B875" s="5">
        <v>9</v>
      </c>
      <c r="C875" s="5">
        <v>2025</v>
      </c>
      <c r="D875" s="5">
        <v>3</v>
      </c>
      <c r="E875" t="s">
        <v>22</v>
      </c>
      <c r="F875" t="s">
        <v>10</v>
      </c>
      <c r="G875" t="s">
        <v>15</v>
      </c>
      <c r="H875" t="s">
        <v>23</v>
      </c>
      <c r="I875" s="7">
        <v>30834.93</v>
      </c>
      <c r="J875" s="7">
        <v>33310.17</v>
      </c>
    </row>
    <row r="876" spans="1:10" x14ac:dyDescent="0.3">
      <c r="A876" s="3">
        <v>45922</v>
      </c>
      <c r="B876" s="5">
        <v>9</v>
      </c>
      <c r="C876" s="5">
        <v>2025</v>
      </c>
      <c r="D876" s="5">
        <v>3</v>
      </c>
      <c r="E876" t="s">
        <v>37</v>
      </c>
      <c r="F876" t="s">
        <v>17</v>
      </c>
      <c r="G876" t="s">
        <v>74</v>
      </c>
      <c r="H876" t="s">
        <v>90</v>
      </c>
      <c r="I876" s="7">
        <v>-2402.16</v>
      </c>
    </row>
    <row r="877" spans="1:10" x14ac:dyDescent="0.3">
      <c r="A877" s="3">
        <v>45923</v>
      </c>
      <c r="B877" s="5">
        <v>9</v>
      </c>
      <c r="C877" s="5">
        <v>2025</v>
      </c>
      <c r="D877" s="5">
        <v>3</v>
      </c>
      <c r="E877" t="s">
        <v>25</v>
      </c>
      <c r="F877" t="s">
        <v>10</v>
      </c>
      <c r="G877" t="s">
        <v>15</v>
      </c>
      <c r="H877" t="s">
        <v>26</v>
      </c>
      <c r="I877" s="7">
        <v>11721.12</v>
      </c>
      <c r="J877" s="7">
        <v>12427.78</v>
      </c>
    </row>
    <row r="878" spans="1:10" x14ac:dyDescent="0.3">
      <c r="A878" s="3">
        <v>45923</v>
      </c>
      <c r="B878" s="5">
        <v>9</v>
      </c>
      <c r="C878" s="5">
        <v>2025</v>
      </c>
      <c r="D878" s="5">
        <v>3</v>
      </c>
      <c r="E878" t="s">
        <v>25</v>
      </c>
      <c r="F878" t="s">
        <v>17</v>
      </c>
      <c r="G878" t="s">
        <v>40</v>
      </c>
      <c r="H878" t="s">
        <v>48</v>
      </c>
      <c r="I878" s="7">
        <v>-10718.6</v>
      </c>
    </row>
    <row r="879" spans="1:10" x14ac:dyDescent="0.3">
      <c r="A879" s="3">
        <v>45923</v>
      </c>
      <c r="B879" s="5">
        <v>9</v>
      </c>
      <c r="C879" s="5">
        <v>2025</v>
      </c>
      <c r="D879" s="5">
        <v>3</v>
      </c>
      <c r="E879" t="s">
        <v>31</v>
      </c>
      <c r="F879" t="s">
        <v>10</v>
      </c>
      <c r="G879" t="s">
        <v>40</v>
      </c>
      <c r="H879" t="s">
        <v>51</v>
      </c>
      <c r="I879" s="7">
        <v>4385.4399999999996</v>
      </c>
      <c r="J879" s="7">
        <v>4743.63</v>
      </c>
    </row>
    <row r="880" spans="1:10" x14ac:dyDescent="0.3">
      <c r="A880" s="3">
        <v>45923</v>
      </c>
      <c r="B880" s="5">
        <v>9</v>
      </c>
      <c r="C880" s="5">
        <v>2025</v>
      </c>
      <c r="D880" s="5">
        <v>3</v>
      </c>
      <c r="E880" t="s">
        <v>37</v>
      </c>
      <c r="F880" t="s">
        <v>17</v>
      </c>
      <c r="G880" t="s">
        <v>57</v>
      </c>
      <c r="H880" t="s">
        <v>73</v>
      </c>
      <c r="I880" s="7">
        <v>-2298.96</v>
      </c>
    </row>
    <row r="881" spans="1:10" x14ac:dyDescent="0.3">
      <c r="A881" s="3">
        <v>45924</v>
      </c>
      <c r="B881" s="5">
        <v>9</v>
      </c>
      <c r="C881" s="5">
        <v>2025</v>
      </c>
      <c r="D881" s="5">
        <v>3</v>
      </c>
      <c r="E881" t="s">
        <v>28</v>
      </c>
      <c r="F881" t="s">
        <v>10</v>
      </c>
      <c r="G881" t="s">
        <v>40</v>
      </c>
      <c r="H881" t="s">
        <v>49</v>
      </c>
      <c r="I881" s="7">
        <v>14229.95</v>
      </c>
      <c r="J881" s="7">
        <v>14303.37</v>
      </c>
    </row>
    <row r="882" spans="1:10" x14ac:dyDescent="0.3">
      <c r="A882" s="3">
        <v>45924</v>
      </c>
      <c r="B882" s="5">
        <v>9</v>
      </c>
      <c r="C882" s="5">
        <v>2025</v>
      </c>
      <c r="D882" s="5">
        <v>3</v>
      </c>
      <c r="E882" t="s">
        <v>31</v>
      </c>
      <c r="F882" t="s">
        <v>17</v>
      </c>
      <c r="G882" t="s">
        <v>40</v>
      </c>
      <c r="H882" t="s">
        <v>52</v>
      </c>
      <c r="I882" s="7">
        <v>-5048.8</v>
      </c>
    </row>
    <row r="883" spans="1:10" x14ac:dyDescent="0.3">
      <c r="A883" s="3">
        <v>45925</v>
      </c>
      <c r="B883" s="5">
        <v>9</v>
      </c>
      <c r="C883" s="5">
        <v>2025</v>
      </c>
      <c r="D883" s="5">
        <v>3</v>
      </c>
      <c r="E883" t="s">
        <v>25</v>
      </c>
      <c r="F883" t="s">
        <v>10</v>
      </c>
      <c r="G883" t="s">
        <v>40</v>
      </c>
      <c r="H883" t="s">
        <v>47</v>
      </c>
      <c r="I883" s="7">
        <v>7553.27</v>
      </c>
      <c r="J883" s="7">
        <v>8045.43</v>
      </c>
    </row>
    <row r="884" spans="1:10" x14ac:dyDescent="0.3">
      <c r="A884" s="3">
        <v>45926</v>
      </c>
      <c r="B884" s="5">
        <v>9</v>
      </c>
      <c r="C884" s="5">
        <v>2025</v>
      </c>
      <c r="D884" s="5">
        <v>3</v>
      </c>
      <c r="E884" t="s">
        <v>22</v>
      </c>
      <c r="F884" t="s">
        <v>17</v>
      </c>
      <c r="G884" t="s">
        <v>15</v>
      </c>
      <c r="H884" t="s">
        <v>24</v>
      </c>
      <c r="I884" s="7">
        <v>-43116.81</v>
      </c>
    </row>
    <row r="885" spans="1:10" x14ac:dyDescent="0.3">
      <c r="A885" s="3">
        <v>45926</v>
      </c>
      <c r="B885" s="5">
        <v>9</v>
      </c>
      <c r="C885" s="5">
        <v>2025</v>
      </c>
      <c r="D885" s="5">
        <v>3</v>
      </c>
      <c r="E885" t="s">
        <v>14</v>
      </c>
      <c r="F885" t="s">
        <v>10</v>
      </c>
      <c r="G885" t="s">
        <v>40</v>
      </c>
      <c r="H885" t="s">
        <v>41</v>
      </c>
      <c r="I885" s="7">
        <v>25943.72</v>
      </c>
      <c r="J885" s="7">
        <v>25545.22</v>
      </c>
    </row>
    <row r="886" spans="1:10" x14ac:dyDescent="0.3">
      <c r="A886" s="3">
        <v>45926</v>
      </c>
      <c r="B886" s="5">
        <v>9</v>
      </c>
      <c r="C886" s="5">
        <v>2025</v>
      </c>
      <c r="D886" s="5">
        <v>3</v>
      </c>
      <c r="E886" t="s">
        <v>19</v>
      </c>
      <c r="F886" t="s">
        <v>17</v>
      </c>
      <c r="G886" t="s">
        <v>57</v>
      </c>
      <c r="H886" t="s">
        <v>61</v>
      </c>
      <c r="I886" s="7">
        <v>-22570.639999999999</v>
      </c>
    </row>
    <row r="887" spans="1:10" x14ac:dyDescent="0.3">
      <c r="A887" s="3">
        <v>45926</v>
      </c>
      <c r="B887" s="5">
        <v>9</v>
      </c>
      <c r="C887" s="5">
        <v>2025</v>
      </c>
      <c r="D887" s="5">
        <v>3</v>
      </c>
      <c r="E887" t="s">
        <v>19</v>
      </c>
      <c r="F887" t="s">
        <v>17</v>
      </c>
      <c r="G887" t="s">
        <v>74</v>
      </c>
      <c r="H887" t="s">
        <v>78</v>
      </c>
      <c r="I887" s="7">
        <v>-8099.79</v>
      </c>
    </row>
    <row r="888" spans="1:10" x14ac:dyDescent="0.3">
      <c r="A888" s="3">
        <v>45926</v>
      </c>
      <c r="B888" s="5">
        <v>9</v>
      </c>
      <c r="C888" s="5">
        <v>2025</v>
      </c>
      <c r="D888" s="5">
        <v>3</v>
      </c>
      <c r="E888" t="s">
        <v>25</v>
      </c>
      <c r="F888" t="s">
        <v>17</v>
      </c>
      <c r="G888" t="s">
        <v>74</v>
      </c>
      <c r="H888" t="s">
        <v>82</v>
      </c>
      <c r="I888" s="7">
        <v>-4216.25</v>
      </c>
    </row>
    <row r="889" spans="1:10" x14ac:dyDescent="0.3">
      <c r="A889" s="3">
        <v>45927</v>
      </c>
      <c r="B889" s="5">
        <v>9</v>
      </c>
      <c r="C889" s="5">
        <v>2025</v>
      </c>
      <c r="D889" s="5">
        <v>3</v>
      </c>
      <c r="E889" t="s">
        <v>19</v>
      </c>
      <c r="F889" t="s">
        <v>17</v>
      </c>
      <c r="G889" t="s">
        <v>40</v>
      </c>
      <c r="H889" t="s">
        <v>44</v>
      </c>
      <c r="I889" s="7">
        <v>-10373.879999999999</v>
      </c>
    </row>
    <row r="890" spans="1:10" x14ac:dyDescent="0.3">
      <c r="A890" s="3">
        <v>45927</v>
      </c>
      <c r="B890" s="5">
        <v>9</v>
      </c>
      <c r="C890" s="5">
        <v>2025</v>
      </c>
      <c r="D890" s="5">
        <v>3</v>
      </c>
      <c r="E890" t="s">
        <v>22</v>
      </c>
      <c r="F890" t="s">
        <v>10</v>
      </c>
      <c r="G890" t="s">
        <v>40</v>
      </c>
      <c r="H890" t="s">
        <v>45</v>
      </c>
      <c r="I890" s="7">
        <v>29759.56</v>
      </c>
      <c r="J890" s="7">
        <v>28508.11</v>
      </c>
    </row>
    <row r="891" spans="1:10" x14ac:dyDescent="0.3">
      <c r="A891" s="3">
        <v>45927</v>
      </c>
      <c r="B891" s="5">
        <v>9</v>
      </c>
      <c r="C891" s="5">
        <v>2025</v>
      </c>
      <c r="D891" s="5">
        <v>3</v>
      </c>
      <c r="E891" t="s">
        <v>14</v>
      </c>
      <c r="F891" t="s">
        <v>10</v>
      </c>
      <c r="G891" t="s">
        <v>57</v>
      </c>
      <c r="H891" t="s">
        <v>58</v>
      </c>
      <c r="I891" s="7">
        <v>29635.7</v>
      </c>
      <c r="J891" s="7">
        <v>27895.22</v>
      </c>
    </row>
    <row r="892" spans="1:10" x14ac:dyDescent="0.3">
      <c r="A892" s="3">
        <v>45927</v>
      </c>
      <c r="B892" s="5">
        <v>9</v>
      </c>
      <c r="C892" s="5">
        <v>2025</v>
      </c>
      <c r="D892" s="5">
        <v>3</v>
      </c>
      <c r="E892" t="s">
        <v>25</v>
      </c>
      <c r="F892" t="s">
        <v>10</v>
      </c>
      <c r="G892" t="s">
        <v>74</v>
      </c>
      <c r="H892" t="s">
        <v>81</v>
      </c>
      <c r="I892" s="7">
        <v>7408.8</v>
      </c>
      <c r="J892" s="7">
        <v>7887.94</v>
      </c>
    </row>
    <row r="893" spans="1:10" x14ac:dyDescent="0.3">
      <c r="A893" s="3">
        <v>45927</v>
      </c>
      <c r="B893" s="5">
        <v>9</v>
      </c>
      <c r="C893" s="5">
        <v>2025</v>
      </c>
      <c r="D893" s="5">
        <v>3</v>
      </c>
      <c r="E893" t="s">
        <v>28</v>
      </c>
      <c r="F893" t="s">
        <v>17</v>
      </c>
      <c r="G893" t="s">
        <v>74</v>
      </c>
      <c r="H893" t="s">
        <v>84</v>
      </c>
      <c r="I893" s="7">
        <v>-26190.11</v>
      </c>
    </row>
    <row r="894" spans="1:10" x14ac:dyDescent="0.3">
      <c r="A894" s="3">
        <v>45928</v>
      </c>
      <c r="B894" s="5">
        <v>9</v>
      </c>
      <c r="C894" s="5">
        <v>2025</v>
      </c>
      <c r="D894" s="5">
        <v>3</v>
      </c>
      <c r="E894" t="s">
        <v>19</v>
      </c>
      <c r="F894" t="s">
        <v>10</v>
      </c>
      <c r="G894" t="s">
        <v>74</v>
      </c>
      <c r="H894" t="s">
        <v>77</v>
      </c>
      <c r="I894" s="7">
        <v>20877.12</v>
      </c>
      <c r="J894" s="7">
        <v>22000.66</v>
      </c>
    </row>
    <row r="895" spans="1:10" x14ac:dyDescent="0.3">
      <c r="A895" s="3">
        <v>45930</v>
      </c>
      <c r="B895" s="5">
        <v>9</v>
      </c>
      <c r="C895" s="5">
        <v>2025</v>
      </c>
      <c r="D895" s="5">
        <v>3</v>
      </c>
      <c r="E895" t="s">
        <v>14</v>
      </c>
      <c r="F895" t="s">
        <v>17</v>
      </c>
      <c r="G895" t="s">
        <v>15</v>
      </c>
      <c r="H895" t="s">
        <v>18</v>
      </c>
      <c r="I895" s="7">
        <v>-12590.73</v>
      </c>
    </row>
    <row r="896" spans="1:10" x14ac:dyDescent="0.3">
      <c r="A896" s="3">
        <v>45930</v>
      </c>
      <c r="B896" s="5">
        <v>9</v>
      </c>
      <c r="C896" s="5">
        <v>2025</v>
      </c>
      <c r="D896" s="5">
        <v>3</v>
      </c>
      <c r="E896" t="s">
        <v>28</v>
      </c>
      <c r="F896" t="s">
        <v>17</v>
      </c>
      <c r="G896" t="s">
        <v>57</v>
      </c>
      <c r="H896" t="s">
        <v>67</v>
      </c>
      <c r="I896" s="7">
        <v>-12670.2</v>
      </c>
    </row>
    <row r="897" spans="1:10" x14ac:dyDescent="0.3">
      <c r="A897" s="3">
        <v>45930</v>
      </c>
      <c r="B897" s="5">
        <v>9</v>
      </c>
      <c r="C897" s="5">
        <v>2025</v>
      </c>
      <c r="D897" s="5">
        <v>3</v>
      </c>
      <c r="E897" t="s">
        <v>22</v>
      </c>
      <c r="F897" t="s">
        <v>10</v>
      </c>
      <c r="G897" t="s">
        <v>74</v>
      </c>
      <c r="H897" t="s">
        <v>79</v>
      </c>
      <c r="I897" s="7">
        <v>19450.669999999998</v>
      </c>
      <c r="J897" s="7">
        <v>21257.9</v>
      </c>
    </row>
    <row r="898" spans="1:10" x14ac:dyDescent="0.3">
      <c r="A898" s="3">
        <v>45931</v>
      </c>
      <c r="B898" s="5">
        <v>10</v>
      </c>
      <c r="C898" s="5">
        <v>2025</v>
      </c>
      <c r="D898" s="5">
        <v>4</v>
      </c>
      <c r="E898" t="s">
        <v>34</v>
      </c>
      <c r="F898" t="s">
        <v>10</v>
      </c>
      <c r="G898" t="s">
        <v>15</v>
      </c>
      <c r="H898" t="s">
        <v>35</v>
      </c>
      <c r="I898" s="7">
        <v>15084.33</v>
      </c>
      <c r="J898" s="7">
        <v>16428.16</v>
      </c>
    </row>
    <row r="899" spans="1:10" x14ac:dyDescent="0.3">
      <c r="A899" s="3">
        <v>45931</v>
      </c>
      <c r="B899" s="5">
        <v>10</v>
      </c>
      <c r="C899" s="5">
        <v>2025</v>
      </c>
      <c r="D899" s="5">
        <v>4</v>
      </c>
      <c r="E899" t="s">
        <v>37</v>
      </c>
      <c r="F899" t="s">
        <v>17</v>
      </c>
      <c r="G899" t="s">
        <v>15</v>
      </c>
      <c r="H899" t="s">
        <v>39</v>
      </c>
      <c r="I899" s="7">
        <v>-11497.67</v>
      </c>
    </row>
    <row r="900" spans="1:10" x14ac:dyDescent="0.3">
      <c r="A900" s="3">
        <v>45931</v>
      </c>
      <c r="B900" s="5">
        <v>10</v>
      </c>
      <c r="C900" s="5">
        <v>2025</v>
      </c>
      <c r="D900" s="5">
        <v>4</v>
      </c>
      <c r="E900" t="s">
        <v>25</v>
      </c>
      <c r="F900" t="s">
        <v>17</v>
      </c>
      <c r="G900" t="s">
        <v>40</v>
      </c>
      <c r="H900" t="s">
        <v>48</v>
      </c>
      <c r="I900" s="7">
        <v>-5357.98</v>
      </c>
    </row>
    <row r="901" spans="1:10" x14ac:dyDescent="0.3">
      <c r="A901" s="3">
        <v>45932</v>
      </c>
      <c r="B901" s="5">
        <v>10</v>
      </c>
      <c r="C901" s="5">
        <v>2025</v>
      </c>
      <c r="D901" s="5">
        <v>4</v>
      </c>
      <c r="E901" t="s">
        <v>25</v>
      </c>
      <c r="F901" t="s">
        <v>10</v>
      </c>
      <c r="G901" t="s">
        <v>40</v>
      </c>
      <c r="H901" t="s">
        <v>47</v>
      </c>
      <c r="I901" s="7">
        <v>11792.86</v>
      </c>
      <c r="J901" s="7">
        <v>11096.75</v>
      </c>
    </row>
    <row r="902" spans="1:10" x14ac:dyDescent="0.3">
      <c r="A902" s="3">
        <v>45932</v>
      </c>
      <c r="B902" s="5">
        <v>10</v>
      </c>
      <c r="C902" s="5">
        <v>2025</v>
      </c>
      <c r="D902" s="5">
        <v>4</v>
      </c>
      <c r="E902" t="s">
        <v>31</v>
      </c>
      <c r="F902" t="s">
        <v>17</v>
      </c>
      <c r="G902" t="s">
        <v>40</v>
      </c>
      <c r="H902" t="s">
        <v>52</v>
      </c>
      <c r="I902" s="7">
        <v>-5479.76</v>
      </c>
    </row>
    <row r="903" spans="1:10" x14ac:dyDescent="0.3">
      <c r="A903" s="3">
        <v>45932</v>
      </c>
      <c r="B903" s="5">
        <v>10</v>
      </c>
      <c r="C903" s="5">
        <v>2025</v>
      </c>
      <c r="D903" s="5">
        <v>4</v>
      </c>
      <c r="E903" t="s">
        <v>31</v>
      </c>
      <c r="F903" t="s">
        <v>10</v>
      </c>
      <c r="G903" t="s">
        <v>74</v>
      </c>
      <c r="H903" t="s">
        <v>85</v>
      </c>
      <c r="I903" s="7">
        <v>5046.12</v>
      </c>
      <c r="J903" s="7">
        <v>5303.91</v>
      </c>
    </row>
    <row r="904" spans="1:10" x14ac:dyDescent="0.3">
      <c r="A904" s="3">
        <v>45933</v>
      </c>
      <c r="B904" s="5">
        <v>10</v>
      </c>
      <c r="C904" s="5">
        <v>2025</v>
      </c>
      <c r="D904" s="5">
        <v>4</v>
      </c>
      <c r="E904" t="s">
        <v>28</v>
      </c>
      <c r="F904" t="s">
        <v>10</v>
      </c>
      <c r="G904" t="s">
        <v>40</v>
      </c>
      <c r="H904" t="s">
        <v>49</v>
      </c>
      <c r="I904" s="7">
        <v>20933.89</v>
      </c>
      <c r="J904" s="7">
        <v>20755.22</v>
      </c>
    </row>
    <row r="905" spans="1:10" x14ac:dyDescent="0.3">
      <c r="A905" s="3">
        <v>45933</v>
      </c>
      <c r="B905" s="5">
        <v>10</v>
      </c>
      <c r="C905" s="5">
        <v>2025</v>
      </c>
      <c r="D905" s="5">
        <v>4</v>
      </c>
      <c r="E905" t="s">
        <v>22</v>
      </c>
      <c r="F905" t="s">
        <v>10</v>
      </c>
      <c r="G905" t="s">
        <v>74</v>
      </c>
      <c r="H905" t="s">
        <v>79</v>
      </c>
      <c r="I905" s="7">
        <v>23258.07</v>
      </c>
      <c r="J905" s="7">
        <v>23163.62</v>
      </c>
    </row>
    <row r="906" spans="1:10" x14ac:dyDescent="0.3">
      <c r="A906" s="3">
        <v>45934</v>
      </c>
      <c r="B906" s="5">
        <v>10</v>
      </c>
      <c r="C906" s="5">
        <v>2025</v>
      </c>
      <c r="D906" s="5">
        <v>4</v>
      </c>
      <c r="E906" t="s">
        <v>37</v>
      </c>
      <c r="F906" t="s">
        <v>17</v>
      </c>
      <c r="G906" t="s">
        <v>40</v>
      </c>
      <c r="H906" t="s">
        <v>56</v>
      </c>
      <c r="I906" s="7">
        <v>-3492.07</v>
      </c>
    </row>
    <row r="907" spans="1:10" x14ac:dyDescent="0.3">
      <c r="A907" s="3">
        <v>45935</v>
      </c>
      <c r="B907" s="5">
        <v>10</v>
      </c>
      <c r="C907" s="5">
        <v>2025</v>
      </c>
      <c r="D907" s="5">
        <v>4</v>
      </c>
      <c r="E907" t="s">
        <v>34</v>
      </c>
      <c r="F907" t="s">
        <v>10</v>
      </c>
      <c r="G907" t="s">
        <v>40</v>
      </c>
      <c r="H907" t="s">
        <v>53</v>
      </c>
      <c r="I907" s="7">
        <v>10529.76</v>
      </c>
      <c r="J907" s="7">
        <v>11185.97</v>
      </c>
    </row>
    <row r="908" spans="1:10" x14ac:dyDescent="0.3">
      <c r="A908" s="3">
        <v>45935</v>
      </c>
      <c r="B908" s="5">
        <v>10</v>
      </c>
      <c r="C908" s="5">
        <v>2025</v>
      </c>
      <c r="D908" s="5">
        <v>4</v>
      </c>
      <c r="E908" t="s">
        <v>37</v>
      </c>
      <c r="F908" t="s">
        <v>10</v>
      </c>
      <c r="G908" t="s">
        <v>40</v>
      </c>
      <c r="H908" t="s">
        <v>55</v>
      </c>
      <c r="I908" s="7">
        <v>6904.5</v>
      </c>
      <c r="J908" s="7">
        <v>7102.75</v>
      </c>
    </row>
    <row r="909" spans="1:10" x14ac:dyDescent="0.3">
      <c r="A909" s="3">
        <v>45935</v>
      </c>
      <c r="B909" s="5">
        <v>10</v>
      </c>
      <c r="C909" s="5">
        <v>2025</v>
      </c>
      <c r="D909" s="5">
        <v>4</v>
      </c>
      <c r="E909" t="s">
        <v>22</v>
      </c>
      <c r="F909" t="s">
        <v>17</v>
      </c>
      <c r="G909" t="s">
        <v>74</v>
      </c>
      <c r="H909" t="s">
        <v>80</v>
      </c>
      <c r="I909" s="7">
        <v>-14894.45</v>
      </c>
    </row>
    <row r="910" spans="1:10" x14ac:dyDescent="0.3">
      <c r="A910" s="3">
        <v>45936</v>
      </c>
      <c r="B910" s="5">
        <v>10</v>
      </c>
      <c r="C910" s="5">
        <v>2025</v>
      </c>
      <c r="D910" s="5">
        <v>4</v>
      </c>
      <c r="E910" t="s">
        <v>22</v>
      </c>
      <c r="F910" t="s">
        <v>10</v>
      </c>
      <c r="G910" t="s">
        <v>57</v>
      </c>
      <c r="H910" t="s">
        <v>62</v>
      </c>
      <c r="I910" s="7">
        <v>28041.599999999999</v>
      </c>
      <c r="J910" s="7">
        <v>29178.21</v>
      </c>
    </row>
    <row r="911" spans="1:10" x14ac:dyDescent="0.3">
      <c r="A911" s="3">
        <v>45936</v>
      </c>
      <c r="B911" s="5">
        <v>10</v>
      </c>
      <c r="C911" s="5">
        <v>2025</v>
      </c>
      <c r="D911" s="5">
        <v>4</v>
      </c>
      <c r="E911" t="s">
        <v>28</v>
      </c>
      <c r="F911" t="s">
        <v>10</v>
      </c>
      <c r="G911" t="s">
        <v>57</v>
      </c>
      <c r="H911" t="s">
        <v>66</v>
      </c>
      <c r="I911" s="7">
        <v>14442.54</v>
      </c>
      <c r="J911" s="7">
        <v>15684.55</v>
      </c>
    </row>
    <row r="912" spans="1:10" x14ac:dyDescent="0.3">
      <c r="A912" s="3">
        <v>45937</v>
      </c>
      <c r="B912" s="5">
        <v>10</v>
      </c>
      <c r="C912" s="5">
        <v>2025</v>
      </c>
      <c r="D912" s="5">
        <v>4</v>
      </c>
      <c r="E912" t="s">
        <v>34</v>
      </c>
      <c r="F912" t="s">
        <v>17</v>
      </c>
      <c r="G912" t="s">
        <v>40</v>
      </c>
      <c r="H912" t="s">
        <v>54</v>
      </c>
      <c r="I912" s="7">
        <v>-3391.32</v>
      </c>
    </row>
    <row r="913" spans="1:10" x14ac:dyDescent="0.3">
      <c r="A913" s="3">
        <v>45938</v>
      </c>
      <c r="B913" s="5">
        <v>10</v>
      </c>
      <c r="C913" s="5">
        <v>2025</v>
      </c>
      <c r="D913" s="5">
        <v>4</v>
      </c>
      <c r="E913" t="s">
        <v>25</v>
      </c>
      <c r="F913" t="s">
        <v>10</v>
      </c>
      <c r="G913" t="s">
        <v>15</v>
      </c>
      <c r="H913" t="s">
        <v>26</v>
      </c>
      <c r="I913" s="7">
        <v>12146.1</v>
      </c>
      <c r="J913" s="7">
        <v>13296.76</v>
      </c>
    </row>
    <row r="914" spans="1:10" x14ac:dyDescent="0.3">
      <c r="A914" s="3">
        <v>45938</v>
      </c>
      <c r="B914" s="5">
        <v>10</v>
      </c>
      <c r="C914" s="5">
        <v>2025</v>
      </c>
      <c r="D914" s="5">
        <v>4</v>
      </c>
      <c r="E914" t="s">
        <v>31</v>
      </c>
      <c r="F914" t="s">
        <v>17</v>
      </c>
      <c r="G914" t="s">
        <v>15</v>
      </c>
      <c r="H914" t="s">
        <v>33</v>
      </c>
      <c r="I914" s="7">
        <v>-4540.49</v>
      </c>
    </row>
    <row r="915" spans="1:10" x14ac:dyDescent="0.3">
      <c r="A915" s="3">
        <v>45939</v>
      </c>
      <c r="B915" s="5">
        <v>10</v>
      </c>
      <c r="C915" s="5">
        <v>2025</v>
      </c>
      <c r="D915" s="5">
        <v>4</v>
      </c>
      <c r="E915" t="s">
        <v>25</v>
      </c>
      <c r="F915" t="s">
        <v>17</v>
      </c>
      <c r="G915" t="s">
        <v>57</v>
      </c>
      <c r="H915" t="s">
        <v>65</v>
      </c>
      <c r="I915" s="7">
        <v>-5116.7700000000004</v>
      </c>
    </row>
    <row r="916" spans="1:10" x14ac:dyDescent="0.3">
      <c r="A916" s="3">
        <v>45939</v>
      </c>
      <c r="B916" s="5">
        <v>10</v>
      </c>
      <c r="C916" s="5">
        <v>2025</v>
      </c>
      <c r="D916" s="5">
        <v>4</v>
      </c>
      <c r="E916" t="s">
        <v>31</v>
      </c>
      <c r="F916" t="s">
        <v>10</v>
      </c>
      <c r="G916" t="s">
        <v>57</v>
      </c>
      <c r="H916" t="s">
        <v>68</v>
      </c>
      <c r="I916" s="7">
        <v>5657.16</v>
      </c>
      <c r="J916" s="7">
        <v>5438.85</v>
      </c>
    </row>
    <row r="917" spans="1:10" x14ac:dyDescent="0.3">
      <c r="A917" s="3">
        <v>45940</v>
      </c>
      <c r="B917" s="5">
        <v>10</v>
      </c>
      <c r="C917" s="5">
        <v>2025</v>
      </c>
      <c r="D917" s="5">
        <v>4</v>
      </c>
      <c r="E917" t="s">
        <v>22</v>
      </c>
      <c r="F917" t="s">
        <v>10</v>
      </c>
      <c r="G917" t="s">
        <v>40</v>
      </c>
      <c r="H917" t="s">
        <v>45</v>
      </c>
      <c r="I917" s="7">
        <v>21982.99</v>
      </c>
      <c r="J917" s="7">
        <v>23810.47</v>
      </c>
    </row>
    <row r="918" spans="1:10" x14ac:dyDescent="0.3">
      <c r="A918" s="3">
        <v>45940</v>
      </c>
      <c r="B918" s="5">
        <v>10</v>
      </c>
      <c r="C918" s="5">
        <v>2025</v>
      </c>
      <c r="D918" s="5">
        <v>4</v>
      </c>
      <c r="E918" t="s">
        <v>28</v>
      </c>
      <c r="F918" t="s">
        <v>17</v>
      </c>
      <c r="G918" t="s">
        <v>40</v>
      </c>
      <c r="H918" t="s">
        <v>50</v>
      </c>
      <c r="I918" s="7">
        <v>-22126.91</v>
      </c>
    </row>
    <row r="919" spans="1:10" x14ac:dyDescent="0.3">
      <c r="A919" s="3">
        <v>45940</v>
      </c>
      <c r="B919" s="5">
        <v>10</v>
      </c>
      <c r="C919" s="5">
        <v>2025</v>
      </c>
      <c r="D919" s="5">
        <v>4</v>
      </c>
      <c r="E919" t="s">
        <v>14</v>
      </c>
      <c r="F919" t="s">
        <v>17</v>
      </c>
      <c r="G919" t="s">
        <v>57</v>
      </c>
      <c r="H919" t="s">
        <v>59</v>
      </c>
      <c r="I919" s="7">
        <v>-12779.94</v>
      </c>
    </row>
    <row r="920" spans="1:10" x14ac:dyDescent="0.3">
      <c r="A920" s="3">
        <v>45941</v>
      </c>
      <c r="B920" s="5">
        <v>10</v>
      </c>
      <c r="C920" s="5">
        <v>2025</v>
      </c>
      <c r="D920" s="5">
        <v>4</v>
      </c>
      <c r="E920" t="s">
        <v>22</v>
      </c>
      <c r="F920" t="s">
        <v>17</v>
      </c>
      <c r="G920" t="s">
        <v>57</v>
      </c>
      <c r="H920" t="s">
        <v>63</v>
      </c>
      <c r="I920" s="7">
        <v>-21115.96</v>
      </c>
    </row>
    <row r="921" spans="1:10" x14ac:dyDescent="0.3">
      <c r="A921" s="3">
        <v>45941</v>
      </c>
      <c r="B921" s="5">
        <v>10</v>
      </c>
      <c r="C921" s="5">
        <v>2025</v>
      </c>
      <c r="D921" s="5">
        <v>4</v>
      </c>
      <c r="E921" t="s">
        <v>34</v>
      </c>
      <c r="F921" t="s">
        <v>10</v>
      </c>
      <c r="G921" t="s">
        <v>57</v>
      </c>
      <c r="H921" t="s">
        <v>70</v>
      </c>
      <c r="I921" s="7">
        <v>11754.51</v>
      </c>
      <c r="J921" s="7">
        <v>12086.58</v>
      </c>
    </row>
    <row r="922" spans="1:10" x14ac:dyDescent="0.3">
      <c r="A922" s="3">
        <v>45941</v>
      </c>
      <c r="B922" s="5">
        <v>10</v>
      </c>
      <c r="C922" s="5">
        <v>2025</v>
      </c>
      <c r="D922" s="5">
        <v>4</v>
      </c>
      <c r="E922" t="s">
        <v>14</v>
      </c>
      <c r="F922" t="s">
        <v>17</v>
      </c>
      <c r="G922" t="s">
        <v>74</v>
      </c>
      <c r="H922" t="s">
        <v>76</v>
      </c>
      <c r="I922" s="7">
        <v>-29695.439999999999</v>
      </c>
    </row>
    <row r="923" spans="1:10" x14ac:dyDescent="0.3">
      <c r="A923" s="3">
        <v>45942</v>
      </c>
      <c r="B923" s="5">
        <v>10</v>
      </c>
      <c r="C923" s="5">
        <v>2025</v>
      </c>
      <c r="D923" s="5">
        <v>4</v>
      </c>
      <c r="E923" t="s">
        <v>14</v>
      </c>
      <c r="F923" t="s">
        <v>10</v>
      </c>
      <c r="G923" t="s">
        <v>15</v>
      </c>
      <c r="H923" t="s">
        <v>16</v>
      </c>
      <c r="I923" s="7">
        <v>36149.71</v>
      </c>
      <c r="J923" s="7">
        <v>37157.83</v>
      </c>
    </row>
    <row r="924" spans="1:10" x14ac:dyDescent="0.3">
      <c r="A924" s="3">
        <v>45942</v>
      </c>
      <c r="B924" s="5">
        <v>10</v>
      </c>
      <c r="C924" s="5">
        <v>2025</v>
      </c>
      <c r="D924" s="5">
        <v>4</v>
      </c>
      <c r="E924" t="s">
        <v>14</v>
      </c>
      <c r="F924" t="s">
        <v>10</v>
      </c>
      <c r="G924" t="s">
        <v>40</v>
      </c>
      <c r="H924" t="s">
        <v>41</v>
      </c>
      <c r="I924" s="7">
        <v>31876.52</v>
      </c>
      <c r="J924" s="7">
        <v>33721.910000000003</v>
      </c>
    </row>
    <row r="925" spans="1:10" x14ac:dyDescent="0.3">
      <c r="A925" s="3">
        <v>45943</v>
      </c>
      <c r="B925" s="5">
        <v>10</v>
      </c>
      <c r="C925" s="5">
        <v>2025</v>
      </c>
      <c r="D925" s="5">
        <v>4</v>
      </c>
      <c r="E925" t="s">
        <v>22</v>
      </c>
      <c r="F925" t="s">
        <v>17</v>
      </c>
      <c r="G925" t="s">
        <v>15</v>
      </c>
      <c r="H925" t="s">
        <v>24</v>
      </c>
      <c r="I925" s="7">
        <v>-18264.43</v>
      </c>
    </row>
    <row r="926" spans="1:10" x14ac:dyDescent="0.3">
      <c r="A926" s="3">
        <v>45944</v>
      </c>
      <c r="B926" s="5">
        <v>10</v>
      </c>
      <c r="C926" s="5">
        <v>2025</v>
      </c>
      <c r="D926" s="5">
        <v>4</v>
      </c>
      <c r="E926" t="s">
        <v>31</v>
      </c>
      <c r="F926" t="s">
        <v>10</v>
      </c>
      <c r="G926" t="s">
        <v>15</v>
      </c>
      <c r="H926" t="s">
        <v>32</v>
      </c>
      <c r="I926" s="7">
        <v>4965.59</v>
      </c>
      <c r="J926" s="7">
        <v>5307.8</v>
      </c>
    </row>
    <row r="927" spans="1:10" x14ac:dyDescent="0.3">
      <c r="A927" s="3">
        <v>45945</v>
      </c>
      <c r="B927" s="5">
        <v>10</v>
      </c>
      <c r="C927" s="5">
        <v>2025</v>
      </c>
      <c r="D927" s="5">
        <v>4</v>
      </c>
      <c r="E927" t="s">
        <v>19</v>
      </c>
      <c r="F927" t="s">
        <v>10</v>
      </c>
      <c r="G927" t="s">
        <v>15</v>
      </c>
      <c r="H927" t="s">
        <v>20</v>
      </c>
      <c r="I927" s="7">
        <v>24601.3</v>
      </c>
      <c r="J927" s="7">
        <v>26231.98</v>
      </c>
    </row>
    <row r="928" spans="1:10" x14ac:dyDescent="0.3">
      <c r="A928" s="3">
        <v>45945</v>
      </c>
      <c r="B928" s="5">
        <v>10</v>
      </c>
      <c r="C928" s="5">
        <v>2025</v>
      </c>
      <c r="D928" s="5">
        <v>4</v>
      </c>
      <c r="E928" t="s">
        <v>19</v>
      </c>
      <c r="F928" t="s">
        <v>17</v>
      </c>
      <c r="G928" t="s">
        <v>15</v>
      </c>
      <c r="H928" t="s">
        <v>21</v>
      </c>
      <c r="I928" s="7">
        <v>-29114.240000000002</v>
      </c>
    </row>
    <row r="929" spans="1:10" x14ac:dyDescent="0.3">
      <c r="A929" s="3">
        <v>45945</v>
      </c>
      <c r="B929" s="5">
        <v>10</v>
      </c>
      <c r="C929" s="5">
        <v>2025</v>
      </c>
      <c r="D929" s="5">
        <v>4</v>
      </c>
      <c r="E929" t="s">
        <v>28</v>
      </c>
      <c r="F929" t="s">
        <v>17</v>
      </c>
      <c r="G929" t="s">
        <v>74</v>
      </c>
      <c r="H929" t="s">
        <v>84</v>
      </c>
      <c r="I929" s="7">
        <v>-11446.06</v>
      </c>
    </row>
    <row r="930" spans="1:10" x14ac:dyDescent="0.3">
      <c r="A930" s="3">
        <v>45945</v>
      </c>
      <c r="B930" s="5">
        <v>10</v>
      </c>
      <c r="C930" s="5">
        <v>2025</v>
      </c>
      <c r="D930" s="5">
        <v>4</v>
      </c>
      <c r="E930" t="s">
        <v>31</v>
      </c>
      <c r="F930" t="s">
        <v>17</v>
      </c>
      <c r="G930" t="s">
        <v>74</v>
      </c>
      <c r="H930" t="s">
        <v>86</v>
      </c>
      <c r="I930" s="7">
        <v>-2489.61</v>
      </c>
    </row>
    <row r="931" spans="1:10" x14ac:dyDescent="0.3">
      <c r="A931" s="3">
        <v>45947</v>
      </c>
      <c r="B931" s="5">
        <v>10</v>
      </c>
      <c r="C931" s="5">
        <v>2025</v>
      </c>
      <c r="D931" s="5">
        <v>4</v>
      </c>
      <c r="E931" t="s">
        <v>19</v>
      </c>
      <c r="F931" t="s">
        <v>17</v>
      </c>
      <c r="G931" t="s">
        <v>40</v>
      </c>
      <c r="H931" t="s">
        <v>44</v>
      </c>
      <c r="I931" s="7">
        <v>-15868.04</v>
      </c>
    </row>
    <row r="932" spans="1:10" x14ac:dyDescent="0.3">
      <c r="A932" s="3">
        <v>45947</v>
      </c>
      <c r="B932" s="5">
        <v>10</v>
      </c>
      <c r="C932" s="5">
        <v>2025</v>
      </c>
      <c r="D932" s="5">
        <v>4</v>
      </c>
      <c r="E932" t="s">
        <v>25</v>
      </c>
      <c r="F932" t="s">
        <v>10</v>
      </c>
      <c r="G932" t="s">
        <v>57</v>
      </c>
      <c r="H932" t="s">
        <v>64</v>
      </c>
      <c r="I932" s="7">
        <v>8582.15</v>
      </c>
      <c r="J932" s="7">
        <v>8634.92</v>
      </c>
    </row>
    <row r="933" spans="1:10" x14ac:dyDescent="0.3">
      <c r="A933" s="3">
        <v>45947</v>
      </c>
      <c r="B933" s="5">
        <v>10</v>
      </c>
      <c r="C933" s="5">
        <v>2025</v>
      </c>
      <c r="D933" s="5">
        <v>4</v>
      </c>
      <c r="E933" t="s">
        <v>28</v>
      </c>
      <c r="F933" t="s">
        <v>10</v>
      </c>
      <c r="G933" t="s">
        <v>74</v>
      </c>
      <c r="H933" t="s">
        <v>83</v>
      </c>
      <c r="I933" s="7">
        <v>15543.43</v>
      </c>
      <c r="J933" s="7">
        <v>16386.64</v>
      </c>
    </row>
    <row r="934" spans="1:10" x14ac:dyDescent="0.3">
      <c r="A934" s="3">
        <v>45947</v>
      </c>
      <c r="B934" s="5">
        <v>10</v>
      </c>
      <c r="C934" s="5">
        <v>2025</v>
      </c>
      <c r="D934" s="5">
        <v>4</v>
      </c>
      <c r="E934" t="s">
        <v>37</v>
      </c>
      <c r="F934" t="s">
        <v>10</v>
      </c>
      <c r="G934" t="s">
        <v>74</v>
      </c>
      <c r="H934" t="s">
        <v>89</v>
      </c>
      <c r="I934" s="7">
        <v>6209.46</v>
      </c>
      <c r="J934" s="7">
        <v>6161.33</v>
      </c>
    </row>
    <row r="935" spans="1:10" x14ac:dyDescent="0.3">
      <c r="A935" s="3">
        <v>45948</v>
      </c>
      <c r="B935" s="5">
        <v>10</v>
      </c>
      <c r="C935" s="5">
        <v>2025</v>
      </c>
      <c r="D935" s="5">
        <v>4</v>
      </c>
      <c r="E935" t="s">
        <v>22</v>
      </c>
      <c r="F935" t="s">
        <v>17</v>
      </c>
      <c r="G935" t="s">
        <v>40</v>
      </c>
      <c r="H935" t="s">
        <v>46</v>
      </c>
      <c r="I935" s="7">
        <v>-15352.1</v>
      </c>
    </row>
    <row r="936" spans="1:10" x14ac:dyDescent="0.3">
      <c r="A936" s="3">
        <v>45948</v>
      </c>
      <c r="B936" s="5">
        <v>10</v>
      </c>
      <c r="C936" s="5">
        <v>2025</v>
      </c>
      <c r="D936" s="5">
        <v>4</v>
      </c>
      <c r="E936" t="s">
        <v>31</v>
      </c>
      <c r="F936" t="s">
        <v>10</v>
      </c>
      <c r="G936" t="s">
        <v>40</v>
      </c>
      <c r="H936" t="s">
        <v>51</v>
      </c>
      <c r="I936" s="7">
        <v>4321.95</v>
      </c>
      <c r="J936" s="7">
        <v>4095.71</v>
      </c>
    </row>
    <row r="937" spans="1:10" x14ac:dyDescent="0.3">
      <c r="A937" s="3">
        <v>45948</v>
      </c>
      <c r="B937" s="5">
        <v>10</v>
      </c>
      <c r="C937" s="5">
        <v>2025</v>
      </c>
      <c r="D937" s="5">
        <v>4</v>
      </c>
      <c r="E937" t="s">
        <v>19</v>
      </c>
      <c r="F937" t="s">
        <v>10</v>
      </c>
      <c r="G937" t="s">
        <v>74</v>
      </c>
      <c r="H937" t="s">
        <v>77</v>
      </c>
      <c r="I937" s="7">
        <v>23169.93</v>
      </c>
      <c r="J937" s="7">
        <v>22931.13</v>
      </c>
    </row>
    <row r="938" spans="1:10" x14ac:dyDescent="0.3">
      <c r="A938" s="3">
        <v>45948</v>
      </c>
      <c r="B938" s="5">
        <v>10</v>
      </c>
      <c r="C938" s="5">
        <v>2025</v>
      </c>
      <c r="D938" s="5">
        <v>4</v>
      </c>
      <c r="E938" t="s">
        <v>25</v>
      </c>
      <c r="F938" t="s">
        <v>17</v>
      </c>
      <c r="G938" t="s">
        <v>74</v>
      </c>
      <c r="H938" t="s">
        <v>82</v>
      </c>
      <c r="I938" s="7">
        <v>-2534.13</v>
      </c>
    </row>
    <row r="939" spans="1:10" x14ac:dyDescent="0.3">
      <c r="A939" s="3">
        <v>45949</v>
      </c>
      <c r="B939" s="5">
        <v>10</v>
      </c>
      <c r="C939" s="5">
        <v>2025</v>
      </c>
      <c r="D939" s="5">
        <v>4</v>
      </c>
      <c r="E939" t="s">
        <v>37</v>
      </c>
      <c r="F939" t="s">
        <v>10</v>
      </c>
      <c r="G939" t="s">
        <v>15</v>
      </c>
      <c r="H939" t="s">
        <v>38</v>
      </c>
      <c r="I939" s="7">
        <v>7706.81</v>
      </c>
      <c r="J939" s="7">
        <v>7903.83</v>
      </c>
    </row>
    <row r="940" spans="1:10" x14ac:dyDescent="0.3">
      <c r="A940" s="3">
        <v>45949</v>
      </c>
      <c r="B940" s="5">
        <v>10</v>
      </c>
      <c r="C940" s="5">
        <v>2025</v>
      </c>
      <c r="D940" s="5">
        <v>4</v>
      </c>
      <c r="E940" t="s">
        <v>34</v>
      </c>
      <c r="F940" t="s">
        <v>10</v>
      </c>
      <c r="G940" t="s">
        <v>74</v>
      </c>
      <c r="H940" t="s">
        <v>87</v>
      </c>
      <c r="I940" s="7">
        <v>11943.02</v>
      </c>
      <c r="J940" s="7">
        <v>12592.49</v>
      </c>
    </row>
    <row r="941" spans="1:10" x14ac:dyDescent="0.3">
      <c r="A941" s="3">
        <v>45950</v>
      </c>
      <c r="B941" s="5">
        <v>10</v>
      </c>
      <c r="C941" s="5">
        <v>2025</v>
      </c>
      <c r="D941" s="5">
        <v>4</v>
      </c>
      <c r="E941" t="s">
        <v>14</v>
      </c>
      <c r="F941" t="s">
        <v>10</v>
      </c>
      <c r="G941" t="s">
        <v>74</v>
      </c>
      <c r="H941" t="s">
        <v>75</v>
      </c>
      <c r="I941" s="7">
        <v>23725.69</v>
      </c>
      <c r="J941" s="7">
        <v>23181.95</v>
      </c>
    </row>
    <row r="942" spans="1:10" x14ac:dyDescent="0.3">
      <c r="A942" s="3">
        <v>45950</v>
      </c>
      <c r="B942" s="5">
        <v>10</v>
      </c>
      <c r="C942" s="5">
        <v>2025</v>
      </c>
      <c r="D942" s="5">
        <v>4</v>
      </c>
      <c r="E942" t="s">
        <v>37</v>
      </c>
      <c r="F942" t="s">
        <v>17</v>
      </c>
      <c r="G942" t="s">
        <v>74</v>
      </c>
      <c r="H942" t="s">
        <v>90</v>
      </c>
      <c r="I942" s="7">
        <v>-2416.59</v>
      </c>
    </row>
    <row r="943" spans="1:10" x14ac:dyDescent="0.3">
      <c r="A943" s="3">
        <v>45951</v>
      </c>
      <c r="B943" s="5">
        <v>10</v>
      </c>
      <c r="C943" s="5">
        <v>2025</v>
      </c>
      <c r="D943" s="5">
        <v>4</v>
      </c>
      <c r="E943" t="s">
        <v>22</v>
      </c>
      <c r="F943" t="s">
        <v>10</v>
      </c>
      <c r="G943" t="s">
        <v>15</v>
      </c>
      <c r="H943" t="s">
        <v>23</v>
      </c>
      <c r="I943" s="7">
        <v>25284.04</v>
      </c>
      <c r="J943" s="7">
        <v>24707.85</v>
      </c>
    </row>
    <row r="944" spans="1:10" x14ac:dyDescent="0.3">
      <c r="A944" s="3">
        <v>45951</v>
      </c>
      <c r="B944" s="5">
        <v>10</v>
      </c>
      <c r="C944" s="5">
        <v>2025</v>
      </c>
      <c r="D944" s="5">
        <v>4</v>
      </c>
      <c r="E944" t="s">
        <v>28</v>
      </c>
      <c r="F944" t="s">
        <v>17</v>
      </c>
      <c r="G944" t="s">
        <v>15</v>
      </c>
      <c r="H944" t="s">
        <v>30</v>
      </c>
      <c r="I944" s="7">
        <v>-7436.22</v>
      </c>
    </row>
    <row r="945" spans="1:10" x14ac:dyDescent="0.3">
      <c r="A945" s="3">
        <v>45951</v>
      </c>
      <c r="B945" s="5">
        <v>10</v>
      </c>
      <c r="C945" s="5">
        <v>2025</v>
      </c>
      <c r="D945" s="5">
        <v>4</v>
      </c>
      <c r="E945" t="s">
        <v>28</v>
      </c>
      <c r="F945" t="s">
        <v>17</v>
      </c>
      <c r="G945" t="s">
        <v>57</v>
      </c>
      <c r="H945" t="s">
        <v>67</v>
      </c>
      <c r="I945" s="7">
        <v>-6454.69</v>
      </c>
    </row>
    <row r="946" spans="1:10" x14ac:dyDescent="0.3">
      <c r="A946" s="3">
        <v>45951</v>
      </c>
      <c r="B946" s="5">
        <v>10</v>
      </c>
      <c r="C946" s="5">
        <v>2025</v>
      </c>
      <c r="D946" s="5">
        <v>4</v>
      </c>
      <c r="E946" t="s">
        <v>34</v>
      </c>
      <c r="F946" t="s">
        <v>17</v>
      </c>
      <c r="G946" t="s">
        <v>57</v>
      </c>
      <c r="H946" t="s">
        <v>71</v>
      </c>
      <c r="I946" s="7">
        <v>-12508.94</v>
      </c>
    </row>
    <row r="947" spans="1:10" x14ac:dyDescent="0.3">
      <c r="A947" s="3">
        <v>45953</v>
      </c>
      <c r="B947" s="5">
        <v>10</v>
      </c>
      <c r="C947" s="5">
        <v>2025</v>
      </c>
      <c r="D947" s="5">
        <v>4</v>
      </c>
      <c r="E947" t="s">
        <v>14</v>
      </c>
      <c r="F947" t="s">
        <v>17</v>
      </c>
      <c r="G947" t="s">
        <v>40</v>
      </c>
      <c r="H947" t="s">
        <v>42</v>
      </c>
      <c r="I947" s="7">
        <v>-10194.85</v>
      </c>
    </row>
    <row r="948" spans="1:10" x14ac:dyDescent="0.3">
      <c r="A948" s="3">
        <v>45955</v>
      </c>
      <c r="B948" s="5">
        <v>10</v>
      </c>
      <c r="C948" s="5">
        <v>2025</v>
      </c>
      <c r="D948" s="5">
        <v>4</v>
      </c>
      <c r="E948" t="s">
        <v>25</v>
      </c>
      <c r="F948" t="s">
        <v>17</v>
      </c>
      <c r="G948" t="s">
        <v>15</v>
      </c>
      <c r="H948" t="s">
        <v>27</v>
      </c>
      <c r="I948" s="7">
        <v>-6707.1</v>
      </c>
    </row>
    <row r="949" spans="1:10" x14ac:dyDescent="0.3">
      <c r="A949" s="3">
        <v>45956</v>
      </c>
      <c r="B949" s="5">
        <v>10</v>
      </c>
      <c r="C949" s="5">
        <v>2025</v>
      </c>
      <c r="D949" s="5">
        <v>4</v>
      </c>
      <c r="E949" t="s">
        <v>34</v>
      </c>
      <c r="F949" t="s">
        <v>17</v>
      </c>
      <c r="G949" t="s">
        <v>15</v>
      </c>
      <c r="H949" t="s">
        <v>36</v>
      </c>
      <c r="I949" s="7">
        <v>-20638.91</v>
      </c>
    </row>
    <row r="950" spans="1:10" x14ac:dyDescent="0.3">
      <c r="A950" s="3">
        <v>45956</v>
      </c>
      <c r="B950" s="5">
        <v>10</v>
      </c>
      <c r="C950" s="5">
        <v>2025</v>
      </c>
      <c r="D950" s="5">
        <v>4</v>
      </c>
      <c r="E950" t="s">
        <v>37</v>
      </c>
      <c r="F950" t="s">
        <v>17</v>
      </c>
      <c r="G950" t="s">
        <v>57</v>
      </c>
      <c r="H950" t="s">
        <v>73</v>
      </c>
      <c r="I950" s="7">
        <v>-2426.96</v>
      </c>
    </row>
    <row r="951" spans="1:10" x14ac:dyDescent="0.3">
      <c r="A951" s="3">
        <v>45956</v>
      </c>
      <c r="B951" s="5">
        <v>10</v>
      </c>
      <c r="C951" s="5">
        <v>2025</v>
      </c>
      <c r="D951" s="5">
        <v>4</v>
      </c>
      <c r="E951" t="s">
        <v>25</v>
      </c>
      <c r="F951" t="s">
        <v>10</v>
      </c>
      <c r="G951" t="s">
        <v>74</v>
      </c>
      <c r="H951" t="s">
        <v>81</v>
      </c>
      <c r="I951" s="7">
        <v>7617.12</v>
      </c>
      <c r="J951" s="7">
        <v>7129.26</v>
      </c>
    </row>
    <row r="952" spans="1:10" x14ac:dyDescent="0.3">
      <c r="A952" s="3">
        <v>45957</v>
      </c>
      <c r="B952" s="5">
        <v>10</v>
      </c>
      <c r="C952" s="5">
        <v>2025</v>
      </c>
      <c r="D952" s="5">
        <v>4</v>
      </c>
      <c r="E952" t="s">
        <v>14</v>
      </c>
      <c r="F952" t="s">
        <v>17</v>
      </c>
      <c r="G952" t="s">
        <v>15</v>
      </c>
      <c r="H952" t="s">
        <v>18</v>
      </c>
      <c r="I952" s="7">
        <v>-52931.73</v>
      </c>
    </row>
    <row r="953" spans="1:10" x14ac:dyDescent="0.3">
      <c r="A953" s="3">
        <v>45957</v>
      </c>
      <c r="B953" s="5">
        <v>10</v>
      </c>
      <c r="C953" s="5">
        <v>2025</v>
      </c>
      <c r="D953" s="5">
        <v>4</v>
      </c>
      <c r="E953" t="s">
        <v>28</v>
      </c>
      <c r="F953" t="s">
        <v>10</v>
      </c>
      <c r="G953" t="s">
        <v>15</v>
      </c>
      <c r="H953" t="s">
        <v>29</v>
      </c>
      <c r="I953" s="7">
        <v>21383.47</v>
      </c>
      <c r="J953" s="7">
        <v>23037.52</v>
      </c>
    </row>
    <row r="954" spans="1:10" x14ac:dyDescent="0.3">
      <c r="A954" s="3">
        <v>45958</v>
      </c>
      <c r="B954" s="5">
        <v>10</v>
      </c>
      <c r="C954" s="5">
        <v>2025</v>
      </c>
      <c r="D954" s="5">
        <v>4</v>
      </c>
      <c r="E954" t="s">
        <v>14</v>
      </c>
      <c r="F954" t="s">
        <v>10</v>
      </c>
      <c r="G954" t="s">
        <v>57</v>
      </c>
      <c r="H954" t="s">
        <v>58</v>
      </c>
      <c r="I954" s="7">
        <v>32454.29</v>
      </c>
      <c r="J954" s="7">
        <v>33405.85</v>
      </c>
    </row>
    <row r="955" spans="1:10" x14ac:dyDescent="0.3">
      <c r="A955" s="3">
        <v>45959</v>
      </c>
      <c r="B955" s="5">
        <v>10</v>
      </c>
      <c r="C955" s="5">
        <v>2025</v>
      </c>
      <c r="D955" s="5">
        <v>4</v>
      </c>
      <c r="E955" t="s">
        <v>19</v>
      </c>
      <c r="F955" t="s">
        <v>10</v>
      </c>
      <c r="G955" t="s">
        <v>57</v>
      </c>
      <c r="H955" t="s">
        <v>60</v>
      </c>
      <c r="I955" s="7">
        <v>27783.41</v>
      </c>
      <c r="J955" s="7">
        <v>26320.52</v>
      </c>
    </row>
    <row r="956" spans="1:10" x14ac:dyDescent="0.3">
      <c r="A956" s="3">
        <v>45959</v>
      </c>
      <c r="B956" s="5">
        <v>10</v>
      </c>
      <c r="C956" s="5">
        <v>2025</v>
      </c>
      <c r="D956" s="5">
        <v>4</v>
      </c>
      <c r="E956" t="s">
        <v>37</v>
      </c>
      <c r="F956" t="s">
        <v>10</v>
      </c>
      <c r="G956" t="s">
        <v>57</v>
      </c>
      <c r="H956" t="s">
        <v>72</v>
      </c>
      <c r="I956" s="7">
        <v>5346.38</v>
      </c>
      <c r="J956" s="7">
        <v>5634.21</v>
      </c>
    </row>
    <row r="957" spans="1:10" x14ac:dyDescent="0.3">
      <c r="A957" s="3">
        <v>45959</v>
      </c>
      <c r="B957" s="5">
        <v>10</v>
      </c>
      <c r="C957" s="5">
        <v>2025</v>
      </c>
      <c r="D957" s="5">
        <v>4</v>
      </c>
      <c r="E957" t="s">
        <v>34</v>
      </c>
      <c r="F957" t="s">
        <v>17</v>
      </c>
      <c r="G957" t="s">
        <v>74</v>
      </c>
      <c r="H957" t="s">
        <v>88</v>
      </c>
      <c r="I957" s="7">
        <v>-6743.24</v>
      </c>
    </row>
    <row r="958" spans="1:10" x14ac:dyDescent="0.3">
      <c r="A958" s="3">
        <v>45960</v>
      </c>
      <c r="B958" s="5">
        <v>10</v>
      </c>
      <c r="C958" s="5">
        <v>2025</v>
      </c>
      <c r="D958" s="5">
        <v>4</v>
      </c>
      <c r="E958" t="s">
        <v>19</v>
      </c>
      <c r="F958" t="s">
        <v>10</v>
      </c>
      <c r="G958" t="s">
        <v>40</v>
      </c>
      <c r="H958" t="s">
        <v>43</v>
      </c>
      <c r="I958" s="7">
        <v>27649.08</v>
      </c>
      <c r="J958" s="7">
        <v>28865.49</v>
      </c>
    </row>
    <row r="959" spans="1:10" x14ac:dyDescent="0.3">
      <c r="A959" s="3">
        <v>45960</v>
      </c>
      <c r="B959" s="5">
        <v>10</v>
      </c>
      <c r="C959" s="5">
        <v>2025</v>
      </c>
      <c r="D959" s="5">
        <v>4</v>
      </c>
      <c r="E959" t="s">
        <v>31</v>
      </c>
      <c r="F959" t="s">
        <v>17</v>
      </c>
      <c r="G959" t="s">
        <v>57</v>
      </c>
      <c r="H959" t="s">
        <v>69</v>
      </c>
      <c r="I959" s="7">
        <v>-3466.74</v>
      </c>
    </row>
    <row r="960" spans="1:10" x14ac:dyDescent="0.3">
      <c r="A960" s="3">
        <v>45960</v>
      </c>
      <c r="B960" s="5">
        <v>10</v>
      </c>
      <c r="C960" s="5">
        <v>2025</v>
      </c>
      <c r="D960" s="5">
        <v>4</v>
      </c>
      <c r="E960" t="s">
        <v>19</v>
      </c>
      <c r="F960" t="s">
        <v>17</v>
      </c>
      <c r="G960" t="s">
        <v>74</v>
      </c>
      <c r="H960" t="s">
        <v>78</v>
      </c>
      <c r="I960" s="7">
        <v>-27531.87</v>
      </c>
    </row>
    <row r="961" spans="1:10" x14ac:dyDescent="0.3">
      <c r="A961" s="3">
        <v>45961</v>
      </c>
      <c r="B961" s="5">
        <v>10</v>
      </c>
      <c r="C961" s="5">
        <v>2025</v>
      </c>
      <c r="D961" s="5">
        <v>4</v>
      </c>
      <c r="E961" t="s">
        <v>19</v>
      </c>
      <c r="F961" t="s">
        <v>17</v>
      </c>
      <c r="G961" t="s">
        <v>57</v>
      </c>
      <c r="H961" t="s">
        <v>61</v>
      </c>
      <c r="I961" s="7">
        <v>-16503.509999999998</v>
      </c>
    </row>
    <row r="962" spans="1:10" x14ac:dyDescent="0.3">
      <c r="A962" s="3">
        <v>45962</v>
      </c>
      <c r="B962" s="5">
        <v>11</v>
      </c>
      <c r="C962" s="5">
        <v>2025</v>
      </c>
      <c r="D962" s="5">
        <v>4</v>
      </c>
      <c r="E962" t="s">
        <v>19</v>
      </c>
      <c r="F962" t="s">
        <v>10</v>
      </c>
      <c r="G962" t="s">
        <v>15</v>
      </c>
      <c r="H962" t="s">
        <v>20</v>
      </c>
      <c r="I962" s="7">
        <v>20892.23</v>
      </c>
      <c r="J962" s="7">
        <v>20523.64</v>
      </c>
    </row>
    <row r="963" spans="1:10" x14ac:dyDescent="0.3">
      <c r="A963" s="3">
        <v>45963</v>
      </c>
      <c r="B963" s="5">
        <v>11</v>
      </c>
      <c r="C963" s="5">
        <v>2025</v>
      </c>
      <c r="D963" s="5">
        <v>4</v>
      </c>
      <c r="E963" t="s">
        <v>25</v>
      </c>
      <c r="F963" t="s">
        <v>17</v>
      </c>
      <c r="G963" t="s">
        <v>40</v>
      </c>
      <c r="H963" t="s">
        <v>48</v>
      </c>
      <c r="I963" s="7">
        <v>-7113.02</v>
      </c>
    </row>
    <row r="964" spans="1:10" x14ac:dyDescent="0.3">
      <c r="A964" s="3">
        <v>45964</v>
      </c>
      <c r="B964" s="5">
        <v>11</v>
      </c>
      <c r="C964" s="5">
        <v>2025</v>
      </c>
      <c r="D964" s="5">
        <v>4</v>
      </c>
      <c r="E964" t="s">
        <v>14</v>
      </c>
      <c r="F964" t="s">
        <v>10</v>
      </c>
      <c r="G964" t="s">
        <v>15</v>
      </c>
      <c r="H964" t="s">
        <v>16</v>
      </c>
      <c r="I964" s="7">
        <v>30214.12</v>
      </c>
      <c r="J964" s="7">
        <v>28273.73</v>
      </c>
    </row>
    <row r="965" spans="1:10" x14ac:dyDescent="0.3">
      <c r="A965" s="3">
        <v>45964</v>
      </c>
      <c r="B965" s="5">
        <v>11</v>
      </c>
      <c r="C965" s="5">
        <v>2025</v>
      </c>
      <c r="D965" s="5">
        <v>4</v>
      </c>
      <c r="E965" t="s">
        <v>37</v>
      </c>
      <c r="F965" t="s">
        <v>10</v>
      </c>
      <c r="G965" t="s">
        <v>15</v>
      </c>
      <c r="H965" t="s">
        <v>38</v>
      </c>
      <c r="I965" s="7">
        <v>6550.76</v>
      </c>
      <c r="J965" s="7">
        <v>7052.43</v>
      </c>
    </row>
    <row r="966" spans="1:10" x14ac:dyDescent="0.3">
      <c r="A966" s="3">
        <v>45964</v>
      </c>
      <c r="B966" s="5">
        <v>11</v>
      </c>
      <c r="C966" s="5">
        <v>2025</v>
      </c>
      <c r="D966" s="5">
        <v>4</v>
      </c>
      <c r="E966" t="s">
        <v>22</v>
      </c>
      <c r="F966" t="s">
        <v>17</v>
      </c>
      <c r="G966" t="s">
        <v>57</v>
      </c>
      <c r="H966" t="s">
        <v>63</v>
      </c>
      <c r="I966" s="7">
        <v>-25903.98</v>
      </c>
    </row>
    <row r="967" spans="1:10" x14ac:dyDescent="0.3">
      <c r="A967" s="3">
        <v>45964</v>
      </c>
      <c r="B967" s="5">
        <v>11</v>
      </c>
      <c r="C967" s="5">
        <v>2025</v>
      </c>
      <c r="D967" s="5">
        <v>4</v>
      </c>
      <c r="E967" t="s">
        <v>37</v>
      </c>
      <c r="F967" t="s">
        <v>17</v>
      </c>
      <c r="G967" t="s">
        <v>57</v>
      </c>
      <c r="H967" t="s">
        <v>73</v>
      </c>
      <c r="I967" s="7">
        <v>-3798.31</v>
      </c>
    </row>
    <row r="968" spans="1:10" x14ac:dyDescent="0.3">
      <c r="A968" s="3">
        <v>45964</v>
      </c>
      <c r="B968" s="5">
        <v>11</v>
      </c>
      <c r="C968" s="5">
        <v>2025</v>
      </c>
      <c r="D968" s="5">
        <v>4</v>
      </c>
      <c r="E968" t="s">
        <v>25</v>
      </c>
      <c r="F968" t="s">
        <v>10</v>
      </c>
      <c r="G968" t="s">
        <v>74</v>
      </c>
      <c r="H968" t="s">
        <v>81</v>
      </c>
      <c r="I968" s="7">
        <v>10284.540000000001</v>
      </c>
      <c r="J968" s="7">
        <v>11128.6</v>
      </c>
    </row>
    <row r="969" spans="1:10" x14ac:dyDescent="0.3">
      <c r="A969" s="3">
        <v>45965</v>
      </c>
      <c r="B969" s="5">
        <v>11</v>
      </c>
      <c r="C969" s="5">
        <v>2025</v>
      </c>
      <c r="D969" s="5">
        <v>4</v>
      </c>
      <c r="E969" t="s">
        <v>22</v>
      </c>
      <c r="F969" t="s">
        <v>17</v>
      </c>
      <c r="G969" t="s">
        <v>15</v>
      </c>
      <c r="H969" t="s">
        <v>24</v>
      </c>
      <c r="I969" s="7">
        <v>-49846.82</v>
      </c>
    </row>
    <row r="970" spans="1:10" x14ac:dyDescent="0.3">
      <c r="A970" s="3">
        <v>45965</v>
      </c>
      <c r="B970" s="5">
        <v>11</v>
      </c>
      <c r="C970" s="5">
        <v>2025</v>
      </c>
      <c r="D970" s="5">
        <v>4</v>
      </c>
      <c r="E970" t="s">
        <v>34</v>
      </c>
      <c r="F970" t="s">
        <v>10</v>
      </c>
      <c r="G970" t="s">
        <v>15</v>
      </c>
      <c r="H970" t="s">
        <v>35</v>
      </c>
      <c r="I970" s="7">
        <v>14662</v>
      </c>
      <c r="J970" s="7">
        <v>14928.62</v>
      </c>
    </row>
    <row r="971" spans="1:10" x14ac:dyDescent="0.3">
      <c r="A971" s="3">
        <v>45965</v>
      </c>
      <c r="B971" s="5">
        <v>11</v>
      </c>
      <c r="C971" s="5">
        <v>2025</v>
      </c>
      <c r="D971" s="5">
        <v>4</v>
      </c>
      <c r="E971" t="s">
        <v>19</v>
      </c>
      <c r="F971" t="s">
        <v>17</v>
      </c>
      <c r="G971" t="s">
        <v>57</v>
      </c>
      <c r="H971" t="s">
        <v>61</v>
      </c>
      <c r="I971" s="7">
        <v>-14450.03</v>
      </c>
    </row>
    <row r="972" spans="1:10" x14ac:dyDescent="0.3">
      <c r="A972" s="3">
        <v>45965</v>
      </c>
      <c r="B972" s="5">
        <v>11</v>
      </c>
      <c r="C972" s="5">
        <v>2025</v>
      </c>
      <c r="D972" s="5">
        <v>4</v>
      </c>
      <c r="E972" t="s">
        <v>25</v>
      </c>
      <c r="F972" t="s">
        <v>17</v>
      </c>
      <c r="G972" t="s">
        <v>57</v>
      </c>
      <c r="H972" t="s">
        <v>65</v>
      </c>
      <c r="I972" s="7">
        <v>-3148.45</v>
      </c>
    </row>
    <row r="973" spans="1:10" x14ac:dyDescent="0.3">
      <c r="A973" s="3">
        <v>45965</v>
      </c>
      <c r="B973" s="5">
        <v>11</v>
      </c>
      <c r="C973" s="5">
        <v>2025</v>
      </c>
      <c r="D973" s="5">
        <v>4</v>
      </c>
      <c r="E973" t="s">
        <v>19</v>
      </c>
      <c r="F973" t="s">
        <v>10</v>
      </c>
      <c r="G973" t="s">
        <v>74</v>
      </c>
      <c r="H973" t="s">
        <v>77</v>
      </c>
      <c r="I973" s="7">
        <v>20422.96</v>
      </c>
      <c r="J973" s="7">
        <v>22165.4</v>
      </c>
    </row>
    <row r="974" spans="1:10" x14ac:dyDescent="0.3">
      <c r="A974" s="3">
        <v>45965</v>
      </c>
      <c r="B974" s="5">
        <v>11</v>
      </c>
      <c r="C974" s="5">
        <v>2025</v>
      </c>
      <c r="D974" s="5">
        <v>4</v>
      </c>
      <c r="E974" t="s">
        <v>22</v>
      </c>
      <c r="F974" t="s">
        <v>17</v>
      </c>
      <c r="G974" t="s">
        <v>74</v>
      </c>
      <c r="H974" t="s">
        <v>80</v>
      </c>
      <c r="I974" s="7">
        <v>-34659.599999999999</v>
      </c>
    </row>
    <row r="975" spans="1:10" x14ac:dyDescent="0.3">
      <c r="A975" s="3">
        <v>45966</v>
      </c>
      <c r="B975" s="5">
        <v>11</v>
      </c>
      <c r="C975" s="5">
        <v>2025</v>
      </c>
      <c r="D975" s="5">
        <v>4</v>
      </c>
      <c r="E975" t="s">
        <v>31</v>
      </c>
      <c r="F975" t="s">
        <v>10</v>
      </c>
      <c r="G975" t="s">
        <v>57</v>
      </c>
      <c r="H975" t="s">
        <v>68</v>
      </c>
      <c r="I975" s="7">
        <v>4270.49</v>
      </c>
      <c r="J975" s="7">
        <v>4422.22</v>
      </c>
    </row>
    <row r="976" spans="1:10" x14ac:dyDescent="0.3">
      <c r="A976" s="3">
        <v>45966</v>
      </c>
      <c r="B976" s="5">
        <v>11</v>
      </c>
      <c r="C976" s="5">
        <v>2025</v>
      </c>
      <c r="D976" s="5">
        <v>4</v>
      </c>
      <c r="E976" t="s">
        <v>37</v>
      </c>
      <c r="F976" t="s">
        <v>10</v>
      </c>
      <c r="G976" t="s">
        <v>57</v>
      </c>
      <c r="H976" t="s">
        <v>72</v>
      </c>
      <c r="I976" s="7">
        <v>5961.57</v>
      </c>
      <c r="J976" s="7">
        <v>6398.99</v>
      </c>
    </row>
    <row r="977" spans="1:10" x14ac:dyDescent="0.3">
      <c r="A977" s="3">
        <v>45966</v>
      </c>
      <c r="B977" s="5">
        <v>11</v>
      </c>
      <c r="C977" s="5">
        <v>2025</v>
      </c>
      <c r="D977" s="5">
        <v>4</v>
      </c>
      <c r="E977" t="s">
        <v>25</v>
      </c>
      <c r="F977" t="s">
        <v>17</v>
      </c>
      <c r="G977" t="s">
        <v>74</v>
      </c>
      <c r="H977" t="s">
        <v>82</v>
      </c>
      <c r="I977" s="7">
        <v>-7229.97</v>
      </c>
    </row>
    <row r="978" spans="1:10" x14ac:dyDescent="0.3">
      <c r="A978" s="3">
        <v>45966</v>
      </c>
      <c r="B978" s="5">
        <v>11</v>
      </c>
      <c r="C978" s="5">
        <v>2025</v>
      </c>
      <c r="D978" s="5">
        <v>4</v>
      </c>
      <c r="E978" t="s">
        <v>34</v>
      </c>
      <c r="F978" t="s">
        <v>17</v>
      </c>
      <c r="G978" t="s">
        <v>74</v>
      </c>
      <c r="H978" t="s">
        <v>88</v>
      </c>
      <c r="I978" s="7">
        <v>-4932.1899999999996</v>
      </c>
    </row>
    <row r="979" spans="1:10" x14ac:dyDescent="0.3">
      <c r="A979" s="3">
        <v>45967</v>
      </c>
      <c r="B979" s="5">
        <v>11</v>
      </c>
      <c r="C979" s="5">
        <v>2025</v>
      </c>
      <c r="D979" s="5">
        <v>4</v>
      </c>
      <c r="E979" t="s">
        <v>14</v>
      </c>
      <c r="F979" t="s">
        <v>17</v>
      </c>
      <c r="G979" t="s">
        <v>40</v>
      </c>
      <c r="H979" t="s">
        <v>42</v>
      </c>
      <c r="I979" s="7">
        <v>-15243.93</v>
      </c>
    </row>
    <row r="980" spans="1:10" x14ac:dyDescent="0.3">
      <c r="A980" s="3">
        <v>45967</v>
      </c>
      <c r="B980" s="5">
        <v>11</v>
      </c>
      <c r="C980" s="5">
        <v>2025</v>
      </c>
      <c r="D980" s="5">
        <v>4</v>
      </c>
      <c r="E980" t="s">
        <v>14</v>
      </c>
      <c r="F980" t="s">
        <v>10</v>
      </c>
      <c r="G980" t="s">
        <v>57</v>
      </c>
      <c r="H980" t="s">
        <v>58</v>
      </c>
      <c r="I980" s="7">
        <v>32141.439999999999</v>
      </c>
      <c r="J980" s="7">
        <v>31063.65</v>
      </c>
    </row>
    <row r="981" spans="1:10" x14ac:dyDescent="0.3">
      <c r="A981" s="3">
        <v>45967</v>
      </c>
      <c r="B981" s="5">
        <v>11</v>
      </c>
      <c r="C981" s="5">
        <v>2025</v>
      </c>
      <c r="D981" s="5">
        <v>4</v>
      </c>
      <c r="E981" t="s">
        <v>31</v>
      </c>
      <c r="F981" t="s">
        <v>17</v>
      </c>
      <c r="G981" t="s">
        <v>57</v>
      </c>
      <c r="H981" t="s">
        <v>69</v>
      </c>
      <c r="I981" s="7">
        <v>-2435.92</v>
      </c>
    </row>
    <row r="982" spans="1:10" x14ac:dyDescent="0.3">
      <c r="A982" s="3">
        <v>45968</v>
      </c>
      <c r="B982" s="5">
        <v>11</v>
      </c>
      <c r="C982" s="5">
        <v>2025</v>
      </c>
      <c r="D982" s="5">
        <v>4</v>
      </c>
      <c r="E982" t="s">
        <v>19</v>
      </c>
      <c r="F982" t="s">
        <v>17</v>
      </c>
      <c r="G982" t="s">
        <v>15</v>
      </c>
      <c r="H982" t="s">
        <v>21</v>
      </c>
      <c r="I982" s="7">
        <v>-27519.95</v>
      </c>
    </row>
    <row r="983" spans="1:10" x14ac:dyDescent="0.3">
      <c r="A983" s="3">
        <v>45968</v>
      </c>
      <c r="B983" s="5">
        <v>11</v>
      </c>
      <c r="C983" s="5">
        <v>2025</v>
      </c>
      <c r="D983" s="5">
        <v>4</v>
      </c>
      <c r="E983" t="s">
        <v>31</v>
      </c>
      <c r="F983" t="s">
        <v>10</v>
      </c>
      <c r="G983" t="s">
        <v>40</v>
      </c>
      <c r="H983" t="s">
        <v>51</v>
      </c>
      <c r="I983" s="7">
        <v>4946.43</v>
      </c>
      <c r="J983" s="7">
        <v>5415.34</v>
      </c>
    </row>
    <row r="984" spans="1:10" x14ac:dyDescent="0.3">
      <c r="A984" s="3">
        <v>45968</v>
      </c>
      <c r="B984" s="5">
        <v>11</v>
      </c>
      <c r="C984" s="5">
        <v>2025</v>
      </c>
      <c r="D984" s="5">
        <v>4</v>
      </c>
      <c r="E984" t="s">
        <v>22</v>
      </c>
      <c r="F984" t="s">
        <v>10</v>
      </c>
      <c r="G984" t="s">
        <v>74</v>
      </c>
      <c r="H984" t="s">
        <v>79</v>
      </c>
      <c r="I984" s="7">
        <v>25603.43</v>
      </c>
      <c r="J984" s="7">
        <v>27368.63</v>
      </c>
    </row>
    <row r="985" spans="1:10" x14ac:dyDescent="0.3">
      <c r="A985" s="3">
        <v>45969</v>
      </c>
      <c r="B985" s="5">
        <v>11</v>
      </c>
      <c r="C985" s="5">
        <v>2025</v>
      </c>
      <c r="D985" s="5">
        <v>4</v>
      </c>
      <c r="E985" t="s">
        <v>19</v>
      </c>
      <c r="F985" t="s">
        <v>10</v>
      </c>
      <c r="G985" t="s">
        <v>40</v>
      </c>
      <c r="H985" t="s">
        <v>43</v>
      </c>
      <c r="I985" s="7">
        <v>26996.58</v>
      </c>
      <c r="J985" s="7">
        <v>25274.58</v>
      </c>
    </row>
    <row r="986" spans="1:10" x14ac:dyDescent="0.3">
      <c r="A986" s="3">
        <v>45969</v>
      </c>
      <c r="B986" s="5">
        <v>11</v>
      </c>
      <c r="C986" s="5">
        <v>2025</v>
      </c>
      <c r="D986" s="5">
        <v>4</v>
      </c>
      <c r="E986" t="s">
        <v>19</v>
      </c>
      <c r="F986" t="s">
        <v>17</v>
      </c>
      <c r="G986" t="s">
        <v>40</v>
      </c>
      <c r="H986" t="s">
        <v>44</v>
      </c>
      <c r="I986" s="7">
        <v>-21634.78</v>
      </c>
    </row>
    <row r="987" spans="1:10" x14ac:dyDescent="0.3">
      <c r="A987" s="3">
        <v>45969</v>
      </c>
      <c r="B987" s="5">
        <v>11</v>
      </c>
      <c r="C987" s="5">
        <v>2025</v>
      </c>
      <c r="D987" s="5">
        <v>4</v>
      </c>
      <c r="E987" t="s">
        <v>34</v>
      </c>
      <c r="F987" t="s">
        <v>17</v>
      </c>
      <c r="G987" t="s">
        <v>57</v>
      </c>
      <c r="H987" t="s">
        <v>71</v>
      </c>
      <c r="I987" s="7">
        <v>-12301.85</v>
      </c>
    </row>
    <row r="988" spans="1:10" x14ac:dyDescent="0.3">
      <c r="A988" s="3">
        <v>45970</v>
      </c>
      <c r="B988" s="5">
        <v>11</v>
      </c>
      <c r="C988" s="5">
        <v>2025</v>
      </c>
      <c r="D988" s="5">
        <v>4</v>
      </c>
      <c r="E988" t="s">
        <v>37</v>
      </c>
      <c r="F988" t="s">
        <v>17</v>
      </c>
      <c r="G988" t="s">
        <v>15</v>
      </c>
      <c r="H988" t="s">
        <v>39</v>
      </c>
      <c r="I988" s="7">
        <v>-5097.99</v>
      </c>
    </row>
    <row r="989" spans="1:10" x14ac:dyDescent="0.3">
      <c r="A989" s="3">
        <v>45970</v>
      </c>
      <c r="B989" s="5">
        <v>11</v>
      </c>
      <c r="C989" s="5">
        <v>2025</v>
      </c>
      <c r="D989" s="5">
        <v>4</v>
      </c>
      <c r="E989" t="s">
        <v>14</v>
      </c>
      <c r="F989" t="s">
        <v>10</v>
      </c>
      <c r="G989" t="s">
        <v>40</v>
      </c>
      <c r="H989" t="s">
        <v>41</v>
      </c>
      <c r="I989" s="7">
        <v>31130.799999999999</v>
      </c>
      <c r="J989" s="7">
        <v>33228.43</v>
      </c>
    </row>
    <row r="990" spans="1:10" x14ac:dyDescent="0.3">
      <c r="A990" s="3">
        <v>45971</v>
      </c>
      <c r="B990" s="5">
        <v>11</v>
      </c>
      <c r="C990" s="5">
        <v>2025</v>
      </c>
      <c r="D990" s="5">
        <v>4</v>
      </c>
      <c r="E990" t="s">
        <v>25</v>
      </c>
      <c r="F990" t="s">
        <v>17</v>
      </c>
      <c r="G990" t="s">
        <v>15</v>
      </c>
      <c r="H990" t="s">
        <v>27</v>
      </c>
      <c r="I990" s="7">
        <v>-4733.22</v>
      </c>
    </row>
    <row r="991" spans="1:10" x14ac:dyDescent="0.3">
      <c r="A991" s="3">
        <v>45971</v>
      </c>
      <c r="B991" s="5">
        <v>11</v>
      </c>
      <c r="C991" s="5">
        <v>2025</v>
      </c>
      <c r="D991" s="5">
        <v>4</v>
      </c>
      <c r="E991" t="s">
        <v>19</v>
      </c>
      <c r="F991" t="s">
        <v>10</v>
      </c>
      <c r="G991" t="s">
        <v>57</v>
      </c>
      <c r="H991" t="s">
        <v>60</v>
      </c>
      <c r="I991" s="7">
        <v>21739.38</v>
      </c>
      <c r="J991" s="7">
        <v>21375.8</v>
      </c>
    </row>
    <row r="992" spans="1:10" x14ac:dyDescent="0.3">
      <c r="A992" s="3">
        <v>45971</v>
      </c>
      <c r="B992" s="5">
        <v>11</v>
      </c>
      <c r="C992" s="5">
        <v>2025</v>
      </c>
      <c r="D992" s="5">
        <v>4</v>
      </c>
      <c r="E992" t="s">
        <v>25</v>
      </c>
      <c r="F992" t="s">
        <v>10</v>
      </c>
      <c r="G992" t="s">
        <v>57</v>
      </c>
      <c r="H992" t="s">
        <v>64</v>
      </c>
      <c r="I992" s="7">
        <v>9161.32</v>
      </c>
      <c r="J992" s="7">
        <v>9002.77</v>
      </c>
    </row>
    <row r="993" spans="1:10" x14ac:dyDescent="0.3">
      <c r="A993" s="3">
        <v>45971</v>
      </c>
      <c r="B993" s="5">
        <v>11</v>
      </c>
      <c r="C993" s="5">
        <v>2025</v>
      </c>
      <c r="D993" s="5">
        <v>4</v>
      </c>
      <c r="E993" t="s">
        <v>37</v>
      </c>
      <c r="F993" t="s">
        <v>10</v>
      </c>
      <c r="G993" t="s">
        <v>74</v>
      </c>
      <c r="H993" t="s">
        <v>89</v>
      </c>
      <c r="I993" s="7">
        <v>7457.52</v>
      </c>
      <c r="J993" s="7">
        <v>8056.46</v>
      </c>
    </row>
    <row r="994" spans="1:10" x14ac:dyDescent="0.3">
      <c r="A994" s="3">
        <v>45973</v>
      </c>
      <c r="B994" s="5">
        <v>11</v>
      </c>
      <c r="C994" s="5">
        <v>2025</v>
      </c>
      <c r="D994" s="5">
        <v>4</v>
      </c>
      <c r="E994" t="s">
        <v>31</v>
      </c>
      <c r="F994" t="s">
        <v>10</v>
      </c>
      <c r="G994" t="s">
        <v>74</v>
      </c>
      <c r="H994" t="s">
        <v>85</v>
      </c>
      <c r="I994" s="7">
        <v>5208.8100000000004</v>
      </c>
      <c r="J994" s="7">
        <v>5716.44</v>
      </c>
    </row>
    <row r="995" spans="1:10" x14ac:dyDescent="0.3">
      <c r="A995" s="3">
        <v>45974</v>
      </c>
      <c r="B995" s="5">
        <v>11</v>
      </c>
      <c r="C995" s="5">
        <v>2025</v>
      </c>
      <c r="D995" s="5">
        <v>4</v>
      </c>
      <c r="E995" t="s">
        <v>14</v>
      </c>
      <c r="F995" t="s">
        <v>17</v>
      </c>
      <c r="G995" t="s">
        <v>15</v>
      </c>
      <c r="H995" t="s">
        <v>18</v>
      </c>
      <c r="I995" s="7">
        <v>-33216.17</v>
      </c>
    </row>
    <row r="996" spans="1:10" x14ac:dyDescent="0.3">
      <c r="A996" s="3">
        <v>45977</v>
      </c>
      <c r="B996" s="5">
        <v>11</v>
      </c>
      <c r="C996" s="5">
        <v>2025</v>
      </c>
      <c r="D996" s="5">
        <v>4</v>
      </c>
      <c r="E996" t="s">
        <v>34</v>
      </c>
      <c r="F996" t="s">
        <v>17</v>
      </c>
      <c r="G996" t="s">
        <v>40</v>
      </c>
      <c r="H996" t="s">
        <v>54</v>
      </c>
      <c r="I996" s="7">
        <v>-23814.15</v>
      </c>
    </row>
    <row r="997" spans="1:10" x14ac:dyDescent="0.3">
      <c r="A997" s="3">
        <v>45978</v>
      </c>
      <c r="B997" s="5">
        <v>11</v>
      </c>
      <c r="C997" s="5">
        <v>2025</v>
      </c>
      <c r="D997" s="5">
        <v>4</v>
      </c>
      <c r="E997" t="s">
        <v>22</v>
      </c>
      <c r="F997" t="s">
        <v>17</v>
      </c>
      <c r="G997" t="s">
        <v>40</v>
      </c>
      <c r="H997" t="s">
        <v>46</v>
      </c>
      <c r="I997" s="7">
        <v>-18969.05</v>
      </c>
    </row>
    <row r="998" spans="1:10" x14ac:dyDescent="0.3">
      <c r="A998" s="3">
        <v>45979</v>
      </c>
      <c r="B998" s="5">
        <v>11</v>
      </c>
      <c r="C998" s="5">
        <v>2025</v>
      </c>
      <c r="D998" s="5">
        <v>4</v>
      </c>
      <c r="E998" t="s">
        <v>34</v>
      </c>
      <c r="F998" t="s">
        <v>17</v>
      </c>
      <c r="G998" t="s">
        <v>15</v>
      </c>
      <c r="H998" t="s">
        <v>36</v>
      </c>
      <c r="I998" s="7">
        <v>-4699.6000000000004</v>
      </c>
    </row>
    <row r="999" spans="1:10" x14ac:dyDescent="0.3">
      <c r="A999" s="3">
        <v>45980</v>
      </c>
      <c r="B999" s="5">
        <v>11</v>
      </c>
      <c r="C999" s="5">
        <v>2025</v>
      </c>
      <c r="D999" s="5">
        <v>4</v>
      </c>
      <c r="E999" t="s">
        <v>31</v>
      </c>
      <c r="F999" t="s">
        <v>10</v>
      </c>
      <c r="G999" t="s">
        <v>15</v>
      </c>
      <c r="H999" t="s">
        <v>32</v>
      </c>
      <c r="I999" s="7">
        <v>6381.35</v>
      </c>
      <c r="J999" s="7">
        <v>6531.9</v>
      </c>
    </row>
    <row r="1000" spans="1:10" x14ac:dyDescent="0.3">
      <c r="A1000" s="3">
        <v>45980</v>
      </c>
      <c r="B1000" s="5">
        <v>11</v>
      </c>
      <c r="C1000" s="5">
        <v>2025</v>
      </c>
      <c r="D1000" s="5">
        <v>4</v>
      </c>
      <c r="E1000" t="s">
        <v>31</v>
      </c>
      <c r="F1000" t="s">
        <v>17</v>
      </c>
      <c r="G1000" t="s">
        <v>15</v>
      </c>
      <c r="H1000" t="s">
        <v>33</v>
      </c>
      <c r="I1000" s="7">
        <v>-4651.8500000000004</v>
      </c>
    </row>
    <row r="1001" spans="1:10" x14ac:dyDescent="0.3">
      <c r="A1001" s="3">
        <v>45981</v>
      </c>
      <c r="B1001" s="5">
        <v>11</v>
      </c>
      <c r="C1001" s="5">
        <v>2025</v>
      </c>
      <c r="D1001" s="5">
        <v>4</v>
      </c>
      <c r="E1001" t="s">
        <v>28</v>
      </c>
      <c r="F1001" t="s">
        <v>17</v>
      </c>
      <c r="G1001" t="s">
        <v>15</v>
      </c>
      <c r="H1001" t="s">
        <v>30</v>
      </c>
      <c r="I1001" s="7">
        <v>-14197.53</v>
      </c>
    </row>
    <row r="1002" spans="1:10" x14ac:dyDescent="0.3">
      <c r="A1002" s="3">
        <v>45981</v>
      </c>
      <c r="B1002" s="5">
        <v>11</v>
      </c>
      <c r="C1002" s="5">
        <v>2025</v>
      </c>
      <c r="D1002" s="5">
        <v>4</v>
      </c>
      <c r="E1002" t="s">
        <v>28</v>
      </c>
      <c r="F1002" t="s">
        <v>10</v>
      </c>
      <c r="G1002" t="s">
        <v>74</v>
      </c>
      <c r="H1002" t="s">
        <v>83</v>
      </c>
      <c r="I1002" s="7">
        <v>19498.52</v>
      </c>
      <c r="J1002" s="7">
        <v>18159.78</v>
      </c>
    </row>
    <row r="1003" spans="1:10" x14ac:dyDescent="0.3">
      <c r="A1003" s="3">
        <v>45981</v>
      </c>
      <c r="B1003" s="5">
        <v>11</v>
      </c>
      <c r="C1003" s="5">
        <v>2025</v>
      </c>
      <c r="D1003" s="5">
        <v>4</v>
      </c>
      <c r="E1003" t="s">
        <v>34</v>
      </c>
      <c r="F1003" t="s">
        <v>10</v>
      </c>
      <c r="G1003" t="s">
        <v>74</v>
      </c>
      <c r="H1003" t="s">
        <v>87</v>
      </c>
      <c r="I1003" s="7">
        <v>11126.35</v>
      </c>
      <c r="J1003" s="7">
        <v>12010.47</v>
      </c>
    </row>
    <row r="1004" spans="1:10" x14ac:dyDescent="0.3">
      <c r="A1004" s="3">
        <v>45982</v>
      </c>
      <c r="B1004" s="5">
        <v>11</v>
      </c>
      <c r="C1004" s="5">
        <v>2025</v>
      </c>
      <c r="D1004" s="5">
        <v>4</v>
      </c>
      <c r="E1004" t="s">
        <v>31</v>
      </c>
      <c r="F1004" t="s">
        <v>17</v>
      </c>
      <c r="G1004" t="s">
        <v>40</v>
      </c>
      <c r="H1004" t="s">
        <v>52</v>
      </c>
      <c r="I1004" s="7">
        <v>-1652.38</v>
      </c>
    </row>
    <row r="1005" spans="1:10" x14ac:dyDescent="0.3">
      <c r="A1005" s="3">
        <v>45982</v>
      </c>
      <c r="B1005" s="5">
        <v>11</v>
      </c>
      <c r="C1005" s="5">
        <v>2025</v>
      </c>
      <c r="D1005" s="5">
        <v>4</v>
      </c>
      <c r="E1005" t="s">
        <v>37</v>
      </c>
      <c r="F1005" t="s">
        <v>10</v>
      </c>
      <c r="G1005" t="s">
        <v>40</v>
      </c>
      <c r="H1005" t="s">
        <v>55</v>
      </c>
      <c r="I1005" s="7">
        <v>7880.97</v>
      </c>
      <c r="J1005" s="7">
        <v>8663.57</v>
      </c>
    </row>
    <row r="1006" spans="1:10" x14ac:dyDescent="0.3">
      <c r="A1006" s="3">
        <v>45982</v>
      </c>
      <c r="B1006" s="5">
        <v>11</v>
      </c>
      <c r="C1006" s="5">
        <v>2025</v>
      </c>
      <c r="D1006" s="5">
        <v>4</v>
      </c>
      <c r="E1006" t="s">
        <v>19</v>
      </c>
      <c r="F1006" t="s">
        <v>17</v>
      </c>
      <c r="G1006" t="s">
        <v>74</v>
      </c>
      <c r="H1006" t="s">
        <v>78</v>
      </c>
      <c r="I1006" s="7">
        <v>-22384.74</v>
      </c>
    </row>
    <row r="1007" spans="1:10" x14ac:dyDescent="0.3">
      <c r="A1007" s="3">
        <v>45983</v>
      </c>
      <c r="B1007" s="5">
        <v>11</v>
      </c>
      <c r="C1007" s="5">
        <v>2025</v>
      </c>
      <c r="D1007" s="5">
        <v>4</v>
      </c>
      <c r="E1007" t="s">
        <v>14</v>
      </c>
      <c r="F1007" t="s">
        <v>17</v>
      </c>
      <c r="G1007" t="s">
        <v>57</v>
      </c>
      <c r="H1007" t="s">
        <v>59</v>
      </c>
      <c r="I1007" s="7">
        <v>-45222.26</v>
      </c>
    </row>
    <row r="1008" spans="1:10" x14ac:dyDescent="0.3">
      <c r="A1008" s="3">
        <v>45984</v>
      </c>
      <c r="B1008" s="5">
        <v>11</v>
      </c>
      <c r="C1008" s="5">
        <v>2025</v>
      </c>
      <c r="D1008" s="5">
        <v>4</v>
      </c>
      <c r="E1008" t="s">
        <v>28</v>
      </c>
      <c r="F1008" t="s">
        <v>17</v>
      </c>
      <c r="G1008" t="s">
        <v>40</v>
      </c>
      <c r="H1008" t="s">
        <v>50</v>
      </c>
      <c r="I1008" s="7">
        <v>-7116.19</v>
      </c>
    </row>
    <row r="1009" spans="1:10" x14ac:dyDescent="0.3">
      <c r="A1009" s="3">
        <v>45984</v>
      </c>
      <c r="B1009" s="5">
        <v>11</v>
      </c>
      <c r="C1009" s="5">
        <v>2025</v>
      </c>
      <c r="D1009" s="5">
        <v>4</v>
      </c>
      <c r="E1009" t="s">
        <v>28</v>
      </c>
      <c r="F1009" t="s">
        <v>10</v>
      </c>
      <c r="G1009" t="s">
        <v>57</v>
      </c>
      <c r="H1009" t="s">
        <v>66</v>
      </c>
      <c r="I1009" s="7">
        <v>20459.11</v>
      </c>
      <c r="J1009" s="7">
        <v>19128.400000000001</v>
      </c>
    </row>
    <row r="1010" spans="1:10" x14ac:dyDescent="0.3">
      <c r="A1010" s="3">
        <v>45984</v>
      </c>
      <c r="B1010" s="5">
        <v>11</v>
      </c>
      <c r="C1010" s="5">
        <v>2025</v>
      </c>
      <c r="D1010" s="5">
        <v>4</v>
      </c>
      <c r="E1010" t="s">
        <v>14</v>
      </c>
      <c r="F1010" t="s">
        <v>10</v>
      </c>
      <c r="G1010" t="s">
        <v>74</v>
      </c>
      <c r="H1010" t="s">
        <v>75</v>
      </c>
      <c r="I1010" s="7">
        <v>28325.48</v>
      </c>
      <c r="J1010" s="7">
        <v>26682.400000000001</v>
      </c>
    </row>
    <row r="1011" spans="1:10" x14ac:dyDescent="0.3">
      <c r="A1011" s="3">
        <v>45985</v>
      </c>
      <c r="B1011" s="5">
        <v>11</v>
      </c>
      <c r="C1011" s="5">
        <v>2025</v>
      </c>
      <c r="D1011" s="5">
        <v>4</v>
      </c>
      <c r="E1011" t="s">
        <v>22</v>
      </c>
      <c r="F1011" t="s">
        <v>10</v>
      </c>
      <c r="G1011" t="s">
        <v>57</v>
      </c>
      <c r="H1011" t="s">
        <v>62</v>
      </c>
      <c r="I1011" s="7">
        <v>28164.04</v>
      </c>
      <c r="J1011" s="7">
        <v>29019.39</v>
      </c>
    </row>
    <row r="1012" spans="1:10" x14ac:dyDescent="0.3">
      <c r="A1012" s="3">
        <v>45985</v>
      </c>
      <c r="B1012" s="5">
        <v>11</v>
      </c>
      <c r="C1012" s="5">
        <v>2025</v>
      </c>
      <c r="D1012" s="5">
        <v>4</v>
      </c>
      <c r="E1012" t="s">
        <v>28</v>
      </c>
      <c r="F1012" t="s">
        <v>17</v>
      </c>
      <c r="G1012" t="s">
        <v>74</v>
      </c>
      <c r="H1012" t="s">
        <v>84</v>
      </c>
      <c r="I1012" s="7">
        <v>-11741</v>
      </c>
    </row>
    <row r="1013" spans="1:10" x14ac:dyDescent="0.3">
      <c r="A1013" s="3">
        <v>45987</v>
      </c>
      <c r="B1013" s="5">
        <v>11</v>
      </c>
      <c r="C1013" s="5">
        <v>2025</v>
      </c>
      <c r="D1013" s="5">
        <v>4</v>
      </c>
      <c r="E1013" t="s">
        <v>37</v>
      </c>
      <c r="F1013" t="s">
        <v>17</v>
      </c>
      <c r="G1013" t="s">
        <v>40</v>
      </c>
      <c r="H1013" t="s">
        <v>56</v>
      </c>
      <c r="I1013" s="7">
        <v>-6577.03</v>
      </c>
    </row>
    <row r="1014" spans="1:10" x14ac:dyDescent="0.3">
      <c r="A1014" s="3">
        <v>45987</v>
      </c>
      <c r="B1014" s="5">
        <v>11</v>
      </c>
      <c r="C1014" s="5">
        <v>2025</v>
      </c>
      <c r="D1014" s="5">
        <v>4</v>
      </c>
      <c r="E1014" t="s">
        <v>28</v>
      </c>
      <c r="F1014" t="s">
        <v>17</v>
      </c>
      <c r="G1014" t="s">
        <v>57</v>
      </c>
      <c r="H1014" t="s">
        <v>67</v>
      </c>
      <c r="I1014" s="7">
        <v>-30852.02</v>
      </c>
    </row>
    <row r="1015" spans="1:10" x14ac:dyDescent="0.3">
      <c r="A1015" s="3">
        <v>45988</v>
      </c>
      <c r="B1015" s="5">
        <v>11</v>
      </c>
      <c r="C1015" s="5">
        <v>2025</v>
      </c>
      <c r="D1015" s="5">
        <v>4</v>
      </c>
      <c r="E1015" t="s">
        <v>28</v>
      </c>
      <c r="F1015" t="s">
        <v>10</v>
      </c>
      <c r="G1015" t="s">
        <v>15</v>
      </c>
      <c r="H1015" t="s">
        <v>29</v>
      </c>
      <c r="I1015" s="7">
        <v>19245.849999999999</v>
      </c>
      <c r="J1015" s="7">
        <v>20135.73</v>
      </c>
    </row>
    <row r="1016" spans="1:10" x14ac:dyDescent="0.3">
      <c r="A1016" s="3">
        <v>45988</v>
      </c>
      <c r="B1016" s="5">
        <v>11</v>
      </c>
      <c r="C1016" s="5">
        <v>2025</v>
      </c>
      <c r="D1016" s="5">
        <v>4</v>
      </c>
      <c r="E1016" t="s">
        <v>22</v>
      </c>
      <c r="F1016" t="s">
        <v>10</v>
      </c>
      <c r="G1016" t="s">
        <v>40</v>
      </c>
      <c r="H1016" t="s">
        <v>45</v>
      </c>
      <c r="I1016" s="7">
        <v>25115.21</v>
      </c>
      <c r="J1016" s="7">
        <v>25611.69</v>
      </c>
    </row>
    <row r="1017" spans="1:10" x14ac:dyDescent="0.3">
      <c r="A1017" s="3">
        <v>45988</v>
      </c>
      <c r="B1017" s="5">
        <v>11</v>
      </c>
      <c r="C1017" s="5">
        <v>2025</v>
      </c>
      <c r="D1017" s="5">
        <v>4</v>
      </c>
      <c r="E1017" t="s">
        <v>34</v>
      </c>
      <c r="F1017" t="s">
        <v>10</v>
      </c>
      <c r="G1017" t="s">
        <v>40</v>
      </c>
      <c r="H1017" t="s">
        <v>53</v>
      </c>
      <c r="I1017" s="7">
        <v>16678.47</v>
      </c>
      <c r="J1017" s="7">
        <v>18027.93</v>
      </c>
    </row>
    <row r="1018" spans="1:10" x14ac:dyDescent="0.3">
      <c r="A1018" s="3">
        <v>45988</v>
      </c>
      <c r="B1018" s="5">
        <v>11</v>
      </c>
      <c r="C1018" s="5">
        <v>2025</v>
      </c>
      <c r="D1018" s="5">
        <v>4</v>
      </c>
      <c r="E1018" t="s">
        <v>14</v>
      </c>
      <c r="F1018" t="s">
        <v>17</v>
      </c>
      <c r="G1018" t="s">
        <v>74</v>
      </c>
      <c r="H1018" t="s">
        <v>76</v>
      </c>
      <c r="I1018" s="7">
        <v>-39841.96</v>
      </c>
    </row>
    <row r="1019" spans="1:10" x14ac:dyDescent="0.3">
      <c r="A1019" s="3">
        <v>45988</v>
      </c>
      <c r="B1019" s="5">
        <v>11</v>
      </c>
      <c r="C1019" s="5">
        <v>2025</v>
      </c>
      <c r="D1019" s="5">
        <v>4</v>
      </c>
      <c r="E1019" t="s">
        <v>31</v>
      </c>
      <c r="F1019" t="s">
        <v>17</v>
      </c>
      <c r="G1019" t="s">
        <v>74</v>
      </c>
      <c r="H1019" t="s">
        <v>86</v>
      </c>
      <c r="I1019" s="7">
        <v>-3657.87</v>
      </c>
    </row>
    <row r="1020" spans="1:10" x14ac:dyDescent="0.3">
      <c r="A1020" s="3">
        <v>45989</v>
      </c>
      <c r="B1020" s="5">
        <v>11</v>
      </c>
      <c r="C1020" s="5">
        <v>2025</v>
      </c>
      <c r="D1020" s="5">
        <v>4</v>
      </c>
      <c r="E1020" t="s">
        <v>22</v>
      </c>
      <c r="F1020" t="s">
        <v>10</v>
      </c>
      <c r="G1020" t="s">
        <v>15</v>
      </c>
      <c r="H1020" t="s">
        <v>23</v>
      </c>
      <c r="I1020" s="7">
        <v>34627.58</v>
      </c>
      <c r="J1020" s="7">
        <v>37074.44</v>
      </c>
    </row>
    <row r="1021" spans="1:10" x14ac:dyDescent="0.3">
      <c r="A1021" s="3">
        <v>45989</v>
      </c>
      <c r="B1021" s="5">
        <v>11</v>
      </c>
      <c r="C1021" s="5">
        <v>2025</v>
      </c>
      <c r="D1021" s="5">
        <v>4</v>
      </c>
      <c r="E1021" t="s">
        <v>25</v>
      </c>
      <c r="F1021" t="s">
        <v>10</v>
      </c>
      <c r="G1021" t="s">
        <v>15</v>
      </c>
      <c r="H1021" t="s">
        <v>26</v>
      </c>
      <c r="I1021" s="7">
        <v>11826.04</v>
      </c>
      <c r="J1021" s="7">
        <v>11194.33</v>
      </c>
    </row>
    <row r="1022" spans="1:10" x14ac:dyDescent="0.3">
      <c r="A1022" s="3">
        <v>45989</v>
      </c>
      <c r="B1022" s="5">
        <v>11</v>
      </c>
      <c r="C1022" s="5">
        <v>2025</v>
      </c>
      <c r="D1022" s="5">
        <v>4</v>
      </c>
      <c r="E1022" t="s">
        <v>28</v>
      </c>
      <c r="F1022" t="s">
        <v>10</v>
      </c>
      <c r="G1022" t="s">
        <v>40</v>
      </c>
      <c r="H1022" t="s">
        <v>49</v>
      </c>
      <c r="I1022" s="7">
        <v>19180.39</v>
      </c>
      <c r="J1022" s="7">
        <v>18451.8</v>
      </c>
    </row>
    <row r="1023" spans="1:10" x14ac:dyDescent="0.3">
      <c r="A1023" s="3">
        <v>45990</v>
      </c>
      <c r="B1023" s="5">
        <v>11</v>
      </c>
      <c r="C1023" s="5">
        <v>2025</v>
      </c>
      <c r="D1023" s="5">
        <v>4</v>
      </c>
      <c r="E1023" t="s">
        <v>25</v>
      </c>
      <c r="F1023" t="s">
        <v>10</v>
      </c>
      <c r="G1023" t="s">
        <v>40</v>
      </c>
      <c r="H1023" t="s">
        <v>47</v>
      </c>
      <c r="I1023" s="7">
        <v>9389.36</v>
      </c>
      <c r="J1023" s="7">
        <v>9341.6200000000008</v>
      </c>
    </row>
    <row r="1024" spans="1:10" x14ac:dyDescent="0.3">
      <c r="A1024" s="3">
        <v>45991</v>
      </c>
      <c r="B1024" s="5">
        <v>11</v>
      </c>
      <c r="C1024" s="5">
        <v>2025</v>
      </c>
      <c r="D1024" s="5">
        <v>4</v>
      </c>
      <c r="E1024" t="s">
        <v>34</v>
      </c>
      <c r="F1024" t="s">
        <v>10</v>
      </c>
      <c r="G1024" t="s">
        <v>57</v>
      </c>
      <c r="H1024" t="s">
        <v>70</v>
      </c>
      <c r="I1024" s="7">
        <v>10401.23</v>
      </c>
      <c r="J1024" s="7">
        <v>10799.74</v>
      </c>
    </row>
    <row r="1025" spans="1:10" x14ac:dyDescent="0.3">
      <c r="A1025" s="3">
        <v>45991</v>
      </c>
      <c r="B1025" s="5">
        <v>11</v>
      </c>
      <c r="C1025" s="5">
        <v>2025</v>
      </c>
      <c r="D1025" s="5">
        <v>4</v>
      </c>
      <c r="E1025" t="s">
        <v>37</v>
      </c>
      <c r="F1025" t="s">
        <v>17</v>
      </c>
      <c r="G1025" t="s">
        <v>74</v>
      </c>
      <c r="H1025" t="s">
        <v>90</v>
      </c>
      <c r="I1025" s="7">
        <v>-3557.97</v>
      </c>
    </row>
    <row r="1026" spans="1:10" x14ac:dyDescent="0.3">
      <c r="A1026" s="3">
        <v>45992</v>
      </c>
      <c r="B1026" s="5">
        <v>12</v>
      </c>
      <c r="C1026" s="5">
        <v>2025</v>
      </c>
      <c r="D1026" s="5">
        <v>4</v>
      </c>
      <c r="E1026" t="s">
        <v>19</v>
      </c>
      <c r="F1026" t="s">
        <v>10</v>
      </c>
      <c r="G1026" t="s">
        <v>40</v>
      </c>
      <c r="H1026" t="s">
        <v>43</v>
      </c>
      <c r="I1026" s="7">
        <v>21003.27</v>
      </c>
      <c r="J1026" s="7">
        <v>21202.28</v>
      </c>
    </row>
    <row r="1027" spans="1:10" x14ac:dyDescent="0.3">
      <c r="A1027" s="3">
        <v>45992</v>
      </c>
      <c r="B1027" s="5">
        <v>12</v>
      </c>
      <c r="C1027" s="5">
        <v>2025</v>
      </c>
      <c r="D1027" s="5">
        <v>4</v>
      </c>
      <c r="E1027" t="s">
        <v>19</v>
      </c>
      <c r="F1027" t="s">
        <v>10</v>
      </c>
      <c r="G1027" t="s">
        <v>74</v>
      </c>
      <c r="H1027" t="s">
        <v>77</v>
      </c>
      <c r="I1027" s="7">
        <v>16961.439999999999</v>
      </c>
      <c r="J1027" s="7">
        <v>16363.98</v>
      </c>
    </row>
    <row r="1028" spans="1:10" x14ac:dyDescent="0.3">
      <c r="A1028" s="3">
        <v>45993</v>
      </c>
      <c r="B1028" s="5">
        <v>12</v>
      </c>
      <c r="C1028" s="5">
        <v>2025</v>
      </c>
      <c r="D1028" s="5">
        <v>4</v>
      </c>
      <c r="E1028" t="s">
        <v>22</v>
      </c>
      <c r="F1028" t="s">
        <v>10</v>
      </c>
      <c r="G1028" t="s">
        <v>15</v>
      </c>
      <c r="H1028" t="s">
        <v>23</v>
      </c>
      <c r="I1028" s="7">
        <v>25480.12</v>
      </c>
      <c r="J1028" s="7">
        <v>24202.51</v>
      </c>
    </row>
    <row r="1029" spans="1:10" x14ac:dyDescent="0.3">
      <c r="A1029" s="3">
        <v>45995</v>
      </c>
      <c r="B1029" s="5">
        <v>12</v>
      </c>
      <c r="C1029" s="5">
        <v>2025</v>
      </c>
      <c r="D1029" s="5">
        <v>4</v>
      </c>
      <c r="E1029" t="s">
        <v>25</v>
      </c>
      <c r="F1029" t="s">
        <v>10</v>
      </c>
      <c r="G1029" t="s">
        <v>57</v>
      </c>
      <c r="H1029" t="s">
        <v>64</v>
      </c>
      <c r="I1029" s="7">
        <v>6135.59</v>
      </c>
      <c r="J1029" s="7">
        <v>6162.24</v>
      </c>
    </row>
    <row r="1030" spans="1:10" x14ac:dyDescent="0.3">
      <c r="A1030" s="3">
        <v>45996</v>
      </c>
      <c r="B1030" s="5">
        <v>12</v>
      </c>
      <c r="C1030" s="5">
        <v>2025</v>
      </c>
      <c r="D1030" s="5">
        <v>4</v>
      </c>
      <c r="E1030" t="s">
        <v>25</v>
      </c>
      <c r="F1030" t="s">
        <v>17</v>
      </c>
      <c r="G1030" t="s">
        <v>15</v>
      </c>
      <c r="H1030" t="s">
        <v>27</v>
      </c>
      <c r="I1030" s="7">
        <v>-2925.57</v>
      </c>
    </row>
    <row r="1031" spans="1:10" x14ac:dyDescent="0.3">
      <c r="A1031" s="3">
        <v>45996</v>
      </c>
      <c r="B1031" s="5">
        <v>12</v>
      </c>
      <c r="C1031" s="5">
        <v>2025</v>
      </c>
      <c r="D1031" s="5">
        <v>4</v>
      </c>
      <c r="E1031" t="s">
        <v>25</v>
      </c>
      <c r="F1031" t="s">
        <v>10</v>
      </c>
      <c r="G1031" t="s">
        <v>74</v>
      </c>
      <c r="H1031" t="s">
        <v>81</v>
      </c>
      <c r="I1031" s="7">
        <v>6284.63</v>
      </c>
      <c r="J1031" s="7">
        <v>5952.98</v>
      </c>
    </row>
    <row r="1032" spans="1:10" x14ac:dyDescent="0.3">
      <c r="A1032" s="3">
        <v>45997</v>
      </c>
      <c r="B1032" s="5">
        <v>12</v>
      </c>
      <c r="C1032" s="5">
        <v>2025</v>
      </c>
      <c r="D1032" s="5">
        <v>4</v>
      </c>
      <c r="E1032" t="s">
        <v>19</v>
      </c>
      <c r="F1032" t="s">
        <v>10</v>
      </c>
      <c r="G1032" t="s">
        <v>15</v>
      </c>
      <c r="H1032" t="s">
        <v>20</v>
      </c>
      <c r="I1032" s="7">
        <v>23640.09</v>
      </c>
      <c r="J1032" s="7">
        <v>22891.47</v>
      </c>
    </row>
    <row r="1033" spans="1:10" x14ac:dyDescent="0.3">
      <c r="A1033" s="3">
        <v>45997</v>
      </c>
      <c r="B1033" s="5">
        <v>12</v>
      </c>
      <c r="C1033" s="5">
        <v>2025</v>
      </c>
      <c r="D1033" s="5">
        <v>4</v>
      </c>
      <c r="E1033" t="s">
        <v>14</v>
      </c>
      <c r="F1033" t="s">
        <v>10</v>
      </c>
      <c r="G1033" t="s">
        <v>74</v>
      </c>
      <c r="H1033" t="s">
        <v>75</v>
      </c>
      <c r="I1033" s="7">
        <v>27699</v>
      </c>
      <c r="J1033" s="7">
        <v>27530.6</v>
      </c>
    </row>
    <row r="1034" spans="1:10" x14ac:dyDescent="0.3">
      <c r="A1034" s="3">
        <v>45998</v>
      </c>
      <c r="B1034" s="5">
        <v>12</v>
      </c>
      <c r="C1034" s="5">
        <v>2025</v>
      </c>
      <c r="D1034" s="5">
        <v>4</v>
      </c>
      <c r="E1034" t="s">
        <v>28</v>
      </c>
      <c r="F1034" t="s">
        <v>10</v>
      </c>
      <c r="G1034" t="s">
        <v>15</v>
      </c>
      <c r="H1034" t="s">
        <v>29</v>
      </c>
      <c r="I1034" s="7">
        <v>11703.86</v>
      </c>
      <c r="J1034" s="7">
        <v>10982.73</v>
      </c>
    </row>
    <row r="1035" spans="1:10" x14ac:dyDescent="0.3">
      <c r="A1035" s="3">
        <v>45999</v>
      </c>
      <c r="B1035" s="5">
        <v>12</v>
      </c>
      <c r="C1035" s="5">
        <v>2025</v>
      </c>
      <c r="D1035" s="5">
        <v>4</v>
      </c>
      <c r="E1035" t="s">
        <v>14</v>
      </c>
      <c r="F1035" t="s">
        <v>17</v>
      </c>
      <c r="G1035" t="s">
        <v>15</v>
      </c>
      <c r="H1035" t="s">
        <v>18</v>
      </c>
      <c r="I1035" s="7">
        <v>-12216.04</v>
      </c>
    </row>
    <row r="1036" spans="1:10" x14ac:dyDescent="0.3">
      <c r="A1036" s="3">
        <v>45999</v>
      </c>
      <c r="B1036" s="5">
        <v>12</v>
      </c>
      <c r="C1036" s="5">
        <v>2025</v>
      </c>
      <c r="D1036" s="5">
        <v>4</v>
      </c>
      <c r="E1036" t="s">
        <v>31</v>
      </c>
      <c r="F1036" t="s">
        <v>10</v>
      </c>
      <c r="G1036" t="s">
        <v>57</v>
      </c>
      <c r="H1036" t="s">
        <v>68</v>
      </c>
      <c r="I1036" s="7">
        <v>4725.04</v>
      </c>
      <c r="J1036" s="7">
        <v>4780.6499999999996</v>
      </c>
    </row>
    <row r="1037" spans="1:10" x14ac:dyDescent="0.3">
      <c r="A1037" s="3">
        <v>45999</v>
      </c>
      <c r="B1037" s="5">
        <v>12</v>
      </c>
      <c r="C1037" s="5">
        <v>2025</v>
      </c>
      <c r="D1037" s="5">
        <v>4</v>
      </c>
      <c r="E1037" t="s">
        <v>31</v>
      </c>
      <c r="F1037" t="s">
        <v>17</v>
      </c>
      <c r="G1037" t="s">
        <v>57</v>
      </c>
      <c r="H1037" t="s">
        <v>69</v>
      </c>
      <c r="I1037" s="7">
        <v>-3228.94</v>
      </c>
    </row>
    <row r="1038" spans="1:10" x14ac:dyDescent="0.3">
      <c r="A1038" s="3">
        <v>45999</v>
      </c>
      <c r="B1038" s="5">
        <v>12</v>
      </c>
      <c r="C1038" s="5">
        <v>2025</v>
      </c>
      <c r="D1038" s="5">
        <v>4</v>
      </c>
      <c r="E1038" t="s">
        <v>34</v>
      </c>
      <c r="F1038" t="s">
        <v>17</v>
      </c>
      <c r="G1038" t="s">
        <v>74</v>
      </c>
      <c r="H1038" t="s">
        <v>88</v>
      </c>
      <c r="I1038" s="7">
        <v>-16875.89</v>
      </c>
    </row>
    <row r="1039" spans="1:10" x14ac:dyDescent="0.3">
      <c r="A1039" s="3">
        <v>46000</v>
      </c>
      <c r="B1039" s="5">
        <v>12</v>
      </c>
      <c r="C1039" s="5">
        <v>2025</v>
      </c>
      <c r="D1039" s="5">
        <v>4</v>
      </c>
      <c r="E1039" t="s">
        <v>34</v>
      </c>
      <c r="F1039" t="s">
        <v>10</v>
      </c>
      <c r="G1039" t="s">
        <v>40</v>
      </c>
      <c r="H1039" t="s">
        <v>53</v>
      </c>
      <c r="I1039" s="7">
        <v>9013.77</v>
      </c>
      <c r="J1039" s="7">
        <v>8822.58</v>
      </c>
    </row>
    <row r="1040" spans="1:10" x14ac:dyDescent="0.3">
      <c r="A1040" s="3">
        <v>46000</v>
      </c>
      <c r="B1040" s="5">
        <v>12</v>
      </c>
      <c r="C1040" s="5">
        <v>2025</v>
      </c>
      <c r="D1040" s="5">
        <v>4</v>
      </c>
      <c r="E1040" t="s">
        <v>28</v>
      </c>
      <c r="F1040" t="s">
        <v>17</v>
      </c>
      <c r="G1040" t="s">
        <v>74</v>
      </c>
      <c r="H1040" t="s">
        <v>84</v>
      </c>
      <c r="I1040" s="7">
        <v>-9866.1200000000008</v>
      </c>
    </row>
    <row r="1041" spans="1:10" x14ac:dyDescent="0.3">
      <c r="A1041" s="3">
        <v>46001</v>
      </c>
      <c r="B1041" s="5">
        <v>12</v>
      </c>
      <c r="C1041" s="5">
        <v>2025</v>
      </c>
      <c r="D1041" s="5">
        <v>4</v>
      </c>
      <c r="E1041" t="s">
        <v>19</v>
      </c>
      <c r="F1041" t="s">
        <v>17</v>
      </c>
      <c r="G1041" t="s">
        <v>15</v>
      </c>
      <c r="H1041" t="s">
        <v>21</v>
      </c>
      <c r="I1041" s="7">
        <v>-28634.080000000002</v>
      </c>
    </row>
    <row r="1042" spans="1:10" x14ac:dyDescent="0.3">
      <c r="A1042" s="3">
        <v>46001</v>
      </c>
      <c r="B1042" s="5">
        <v>12</v>
      </c>
      <c r="C1042" s="5">
        <v>2025</v>
      </c>
      <c r="D1042" s="5">
        <v>4</v>
      </c>
      <c r="E1042" t="s">
        <v>37</v>
      </c>
      <c r="F1042" t="s">
        <v>17</v>
      </c>
      <c r="G1042" t="s">
        <v>40</v>
      </c>
      <c r="H1042" t="s">
        <v>56</v>
      </c>
      <c r="I1042" s="7">
        <v>-6694.78</v>
      </c>
    </row>
    <row r="1043" spans="1:10" x14ac:dyDescent="0.3">
      <c r="A1043" s="3">
        <v>46001</v>
      </c>
      <c r="B1043" s="5">
        <v>12</v>
      </c>
      <c r="C1043" s="5">
        <v>2025</v>
      </c>
      <c r="D1043" s="5">
        <v>4</v>
      </c>
      <c r="E1043" t="s">
        <v>25</v>
      </c>
      <c r="F1043" t="s">
        <v>17</v>
      </c>
      <c r="G1043" t="s">
        <v>57</v>
      </c>
      <c r="H1043" t="s">
        <v>65</v>
      </c>
      <c r="I1043" s="7">
        <v>-4545.95</v>
      </c>
    </row>
    <row r="1044" spans="1:10" x14ac:dyDescent="0.3">
      <c r="A1044" s="3">
        <v>46002</v>
      </c>
      <c r="B1044" s="5">
        <v>12</v>
      </c>
      <c r="C1044" s="5">
        <v>2025</v>
      </c>
      <c r="D1044" s="5">
        <v>4</v>
      </c>
      <c r="E1044" t="s">
        <v>28</v>
      </c>
      <c r="F1044" t="s">
        <v>10</v>
      </c>
      <c r="G1044" t="s">
        <v>40</v>
      </c>
      <c r="H1044" t="s">
        <v>49</v>
      </c>
      <c r="I1044" s="7">
        <v>16254</v>
      </c>
      <c r="J1044" s="7">
        <v>17536.7</v>
      </c>
    </row>
    <row r="1045" spans="1:10" x14ac:dyDescent="0.3">
      <c r="A1045" s="3">
        <v>46003</v>
      </c>
      <c r="B1045" s="5">
        <v>12</v>
      </c>
      <c r="C1045" s="5">
        <v>2025</v>
      </c>
      <c r="D1045" s="5">
        <v>4</v>
      </c>
      <c r="E1045" t="s">
        <v>28</v>
      </c>
      <c r="F1045" t="s">
        <v>17</v>
      </c>
      <c r="G1045" t="s">
        <v>15</v>
      </c>
      <c r="H1045" t="s">
        <v>30</v>
      </c>
      <c r="I1045" s="7">
        <v>-8389.94</v>
      </c>
    </row>
    <row r="1046" spans="1:10" x14ac:dyDescent="0.3">
      <c r="A1046" s="3">
        <v>46003</v>
      </c>
      <c r="B1046" s="5">
        <v>12</v>
      </c>
      <c r="C1046" s="5">
        <v>2025</v>
      </c>
      <c r="D1046" s="5">
        <v>4</v>
      </c>
      <c r="E1046" t="s">
        <v>25</v>
      </c>
      <c r="F1046" t="s">
        <v>10</v>
      </c>
      <c r="G1046" t="s">
        <v>40</v>
      </c>
      <c r="H1046" t="s">
        <v>47</v>
      </c>
      <c r="I1046" s="7">
        <v>8863</v>
      </c>
      <c r="J1046" s="7">
        <v>9544.7999999999993</v>
      </c>
    </row>
    <row r="1047" spans="1:10" x14ac:dyDescent="0.3">
      <c r="A1047" s="3">
        <v>46003</v>
      </c>
      <c r="B1047" s="5">
        <v>12</v>
      </c>
      <c r="C1047" s="5">
        <v>2025</v>
      </c>
      <c r="D1047" s="5">
        <v>4</v>
      </c>
      <c r="E1047" t="s">
        <v>14</v>
      </c>
      <c r="F1047" t="s">
        <v>17</v>
      </c>
      <c r="G1047" t="s">
        <v>57</v>
      </c>
      <c r="H1047" t="s">
        <v>59</v>
      </c>
      <c r="I1047" s="7">
        <v>-31625.78</v>
      </c>
    </row>
    <row r="1048" spans="1:10" x14ac:dyDescent="0.3">
      <c r="A1048" s="3">
        <v>46004</v>
      </c>
      <c r="B1048" s="5">
        <v>12</v>
      </c>
      <c r="C1048" s="5">
        <v>2025</v>
      </c>
      <c r="D1048" s="5">
        <v>4</v>
      </c>
      <c r="E1048" t="s">
        <v>34</v>
      </c>
      <c r="F1048" t="s">
        <v>10</v>
      </c>
      <c r="G1048" t="s">
        <v>15</v>
      </c>
      <c r="H1048" t="s">
        <v>35</v>
      </c>
      <c r="I1048" s="7">
        <v>13174.22</v>
      </c>
      <c r="J1048" s="7">
        <v>14299.65</v>
      </c>
    </row>
    <row r="1049" spans="1:10" x14ac:dyDescent="0.3">
      <c r="A1049" s="3">
        <v>46004</v>
      </c>
      <c r="B1049" s="5">
        <v>12</v>
      </c>
      <c r="C1049" s="5">
        <v>2025</v>
      </c>
      <c r="D1049" s="5">
        <v>4</v>
      </c>
      <c r="E1049" t="s">
        <v>28</v>
      </c>
      <c r="F1049" t="s">
        <v>17</v>
      </c>
      <c r="G1049" t="s">
        <v>40</v>
      </c>
      <c r="H1049" t="s">
        <v>50</v>
      </c>
      <c r="I1049" s="7">
        <v>-13393.45</v>
      </c>
    </row>
    <row r="1050" spans="1:10" x14ac:dyDescent="0.3">
      <c r="A1050" s="3">
        <v>46004</v>
      </c>
      <c r="B1050" s="5">
        <v>12</v>
      </c>
      <c r="C1050" s="5">
        <v>2025</v>
      </c>
      <c r="D1050" s="5">
        <v>4</v>
      </c>
      <c r="E1050" t="s">
        <v>31</v>
      </c>
      <c r="F1050" t="s">
        <v>10</v>
      </c>
      <c r="G1050" t="s">
        <v>40</v>
      </c>
      <c r="H1050" t="s">
        <v>51</v>
      </c>
      <c r="I1050" s="7">
        <v>5022.55</v>
      </c>
      <c r="J1050" s="7">
        <v>4832.88</v>
      </c>
    </row>
    <row r="1051" spans="1:10" x14ac:dyDescent="0.3">
      <c r="A1051" s="3">
        <v>46004</v>
      </c>
      <c r="B1051" s="5">
        <v>12</v>
      </c>
      <c r="C1051" s="5">
        <v>2025</v>
      </c>
      <c r="D1051" s="5">
        <v>4</v>
      </c>
      <c r="E1051" t="s">
        <v>31</v>
      </c>
      <c r="F1051" t="s">
        <v>17</v>
      </c>
      <c r="G1051" t="s">
        <v>40</v>
      </c>
      <c r="H1051" t="s">
        <v>52</v>
      </c>
      <c r="I1051" s="7">
        <v>-1536.9</v>
      </c>
    </row>
    <row r="1052" spans="1:10" x14ac:dyDescent="0.3">
      <c r="A1052" s="3">
        <v>46004</v>
      </c>
      <c r="B1052" s="5">
        <v>12</v>
      </c>
      <c r="C1052" s="5">
        <v>2025</v>
      </c>
      <c r="D1052" s="5">
        <v>4</v>
      </c>
      <c r="E1052" t="s">
        <v>37</v>
      </c>
      <c r="F1052" t="s">
        <v>17</v>
      </c>
      <c r="G1052" t="s">
        <v>74</v>
      </c>
      <c r="H1052" t="s">
        <v>90</v>
      </c>
      <c r="I1052" s="7">
        <v>-5635.4</v>
      </c>
    </row>
    <row r="1053" spans="1:10" x14ac:dyDescent="0.3">
      <c r="A1053" s="3">
        <v>46005</v>
      </c>
      <c r="B1053" s="5">
        <v>12</v>
      </c>
      <c r="C1053" s="5">
        <v>2025</v>
      </c>
      <c r="D1053" s="5">
        <v>4</v>
      </c>
      <c r="E1053" t="s">
        <v>22</v>
      </c>
      <c r="F1053" t="s">
        <v>17</v>
      </c>
      <c r="G1053" t="s">
        <v>15</v>
      </c>
      <c r="H1053" t="s">
        <v>24</v>
      </c>
      <c r="I1053" s="7">
        <v>-19956.21</v>
      </c>
    </row>
    <row r="1054" spans="1:10" x14ac:dyDescent="0.3">
      <c r="A1054" s="3">
        <v>46005</v>
      </c>
      <c r="B1054" s="5">
        <v>12</v>
      </c>
      <c r="C1054" s="5">
        <v>2025</v>
      </c>
      <c r="D1054" s="5">
        <v>4</v>
      </c>
      <c r="E1054" t="s">
        <v>34</v>
      </c>
      <c r="F1054" t="s">
        <v>17</v>
      </c>
      <c r="G1054" t="s">
        <v>15</v>
      </c>
      <c r="H1054" t="s">
        <v>36</v>
      </c>
      <c r="I1054" s="7">
        <v>-8080.39</v>
      </c>
    </row>
    <row r="1055" spans="1:10" x14ac:dyDescent="0.3">
      <c r="A1055" s="3">
        <v>46005</v>
      </c>
      <c r="B1055" s="5">
        <v>12</v>
      </c>
      <c r="C1055" s="5">
        <v>2025</v>
      </c>
      <c r="D1055" s="5">
        <v>4</v>
      </c>
      <c r="E1055" t="s">
        <v>22</v>
      </c>
      <c r="F1055" t="s">
        <v>17</v>
      </c>
      <c r="G1055" t="s">
        <v>40</v>
      </c>
      <c r="H1055" t="s">
        <v>46</v>
      </c>
      <c r="I1055" s="7">
        <v>-11523.89</v>
      </c>
    </row>
    <row r="1056" spans="1:10" x14ac:dyDescent="0.3">
      <c r="A1056" s="3">
        <v>46005</v>
      </c>
      <c r="B1056" s="5">
        <v>12</v>
      </c>
      <c r="C1056" s="5">
        <v>2025</v>
      </c>
      <c r="D1056" s="5">
        <v>4</v>
      </c>
      <c r="E1056" t="s">
        <v>25</v>
      </c>
      <c r="F1056" t="s">
        <v>17</v>
      </c>
      <c r="G1056" t="s">
        <v>74</v>
      </c>
      <c r="H1056" t="s">
        <v>82</v>
      </c>
      <c r="I1056" s="7">
        <v>-2593.16</v>
      </c>
    </row>
    <row r="1057" spans="1:10" x14ac:dyDescent="0.3">
      <c r="A1057" s="3">
        <v>46005</v>
      </c>
      <c r="B1057" s="5">
        <v>12</v>
      </c>
      <c r="C1057" s="5">
        <v>2025</v>
      </c>
      <c r="D1057" s="5">
        <v>4</v>
      </c>
      <c r="E1057" t="s">
        <v>37</v>
      </c>
      <c r="F1057" t="s">
        <v>10</v>
      </c>
      <c r="G1057" t="s">
        <v>74</v>
      </c>
      <c r="H1057" t="s">
        <v>89</v>
      </c>
      <c r="I1057" s="7">
        <v>4513.76</v>
      </c>
      <c r="J1057" s="7">
        <v>4921.8999999999996</v>
      </c>
    </row>
    <row r="1058" spans="1:10" x14ac:dyDescent="0.3">
      <c r="A1058" s="3">
        <v>46006</v>
      </c>
      <c r="B1058" s="5">
        <v>12</v>
      </c>
      <c r="C1058" s="5">
        <v>2025</v>
      </c>
      <c r="D1058" s="5">
        <v>4</v>
      </c>
      <c r="E1058" t="s">
        <v>19</v>
      </c>
      <c r="F1058" t="s">
        <v>17</v>
      </c>
      <c r="G1058" t="s">
        <v>40</v>
      </c>
      <c r="H1058" t="s">
        <v>44</v>
      </c>
      <c r="I1058" s="7">
        <v>-10963.72</v>
      </c>
    </row>
    <row r="1059" spans="1:10" x14ac:dyDescent="0.3">
      <c r="A1059" s="3">
        <v>46006</v>
      </c>
      <c r="B1059" s="5">
        <v>12</v>
      </c>
      <c r="C1059" s="5">
        <v>2025</v>
      </c>
      <c r="D1059" s="5">
        <v>4</v>
      </c>
      <c r="E1059" t="s">
        <v>19</v>
      </c>
      <c r="F1059" t="s">
        <v>10</v>
      </c>
      <c r="G1059" t="s">
        <v>57</v>
      </c>
      <c r="H1059" t="s">
        <v>60</v>
      </c>
      <c r="I1059" s="7">
        <v>14155.23</v>
      </c>
      <c r="J1059" s="7">
        <v>14620.18</v>
      </c>
    </row>
    <row r="1060" spans="1:10" x14ac:dyDescent="0.3">
      <c r="A1060" s="3">
        <v>46006</v>
      </c>
      <c r="B1060" s="5">
        <v>12</v>
      </c>
      <c r="C1060" s="5">
        <v>2025</v>
      </c>
      <c r="D1060" s="5">
        <v>4</v>
      </c>
      <c r="E1060" t="s">
        <v>22</v>
      </c>
      <c r="F1060" t="s">
        <v>10</v>
      </c>
      <c r="G1060" t="s">
        <v>74</v>
      </c>
      <c r="H1060" t="s">
        <v>79</v>
      </c>
      <c r="I1060" s="7">
        <v>22829.89</v>
      </c>
      <c r="J1060" s="7">
        <v>21737.98</v>
      </c>
    </row>
    <row r="1061" spans="1:10" x14ac:dyDescent="0.3">
      <c r="A1061" s="3">
        <v>46006</v>
      </c>
      <c r="B1061" s="5">
        <v>12</v>
      </c>
      <c r="C1061" s="5">
        <v>2025</v>
      </c>
      <c r="D1061" s="5">
        <v>4</v>
      </c>
      <c r="E1061" t="s">
        <v>22</v>
      </c>
      <c r="F1061" t="s">
        <v>17</v>
      </c>
      <c r="G1061" t="s">
        <v>74</v>
      </c>
      <c r="H1061" t="s">
        <v>80</v>
      </c>
      <c r="I1061" s="7">
        <v>-11444.77</v>
      </c>
    </row>
    <row r="1062" spans="1:10" x14ac:dyDescent="0.3">
      <c r="A1062" s="3">
        <v>46006</v>
      </c>
      <c r="B1062" s="5">
        <v>12</v>
      </c>
      <c r="C1062" s="5">
        <v>2025</v>
      </c>
      <c r="D1062" s="5">
        <v>4</v>
      </c>
      <c r="E1062" t="s">
        <v>31</v>
      </c>
      <c r="F1062" t="s">
        <v>10</v>
      </c>
      <c r="G1062" t="s">
        <v>74</v>
      </c>
      <c r="H1062" t="s">
        <v>85</v>
      </c>
      <c r="I1062" s="7">
        <v>3733.01</v>
      </c>
      <c r="J1062" s="7">
        <v>3977.81</v>
      </c>
    </row>
    <row r="1063" spans="1:10" x14ac:dyDescent="0.3">
      <c r="A1063" s="3">
        <v>46007</v>
      </c>
      <c r="B1063" s="5">
        <v>12</v>
      </c>
      <c r="C1063" s="5">
        <v>2025</v>
      </c>
      <c r="D1063" s="5">
        <v>4</v>
      </c>
      <c r="E1063" t="s">
        <v>34</v>
      </c>
      <c r="F1063" t="s">
        <v>17</v>
      </c>
      <c r="G1063" t="s">
        <v>40</v>
      </c>
      <c r="H1063" t="s">
        <v>54</v>
      </c>
      <c r="I1063" s="7">
        <v>-6766.92</v>
      </c>
    </row>
    <row r="1064" spans="1:10" x14ac:dyDescent="0.3">
      <c r="A1064" s="3">
        <v>46007</v>
      </c>
      <c r="B1064" s="5">
        <v>12</v>
      </c>
      <c r="C1064" s="5">
        <v>2025</v>
      </c>
      <c r="D1064" s="5">
        <v>4</v>
      </c>
      <c r="E1064" t="s">
        <v>31</v>
      </c>
      <c r="F1064" t="s">
        <v>17</v>
      </c>
      <c r="G1064" t="s">
        <v>74</v>
      </c>
      <c r="H1064" t="s">
        <v>86</v>
      </c>
      <c r="I1064" s="7">
        <v>-3605.25</v>
      </c>
    </row>
    <row r="1065" spans="1:10" x14ac:dyDescent="0.3">
      <c r="A1065" s="3">
        <v>46008</v>
      </c>
      <c r="B1065" s="5">
        <v>12</v>
      </c>
      <c r="C1065" s="5">
        <v>2025</v>
      </c>
      <c r="D1065" s="5">
        <v>4</v>
      </c>
      <c r="E1065" t="s">
        <v>14</v>
      </c>
      <c r="F1065" t="s">
        <v>10</v>
      </c>
      <c r="G1065" t="s">
        <v>15</v>
      </c>
      <c r="H1065" t="s">
        <v>16</v>
      </c>
      <c r="I1065" s="7">
        <v>24002.92</v>
      </c>
      <c r="J1065" s="7">
        <v>24062.28</v>
      </c>
    </row>
    <row r="1066" spans="1:10" x14ac:dyDescent="0.3">
      <c r="A1066" s="3">
        <v>46008</v>
      </c>
      <c r="B1066" s="5">
        <v>12</v>
      </c>
      <c r="C1066" s="5">
        <v>2025</v>
      </c>
      <c r="D1066" s="5">
        <v>4</v>
      </c>
      <c r="E1066" t="s">
        <v>19</v>
      </c>
      <c r="F1066" t="s">
        <v>17</v>
      </c>
      <c r="G1066" t="s">
        <v>57</v>
      </c>
      <c r="H1066" t="s">
        <v>61</v>
      </c>
      <c r="I1066" s="7">
        <v>-11803.42</v>
      </c>
    </row>
    <row r="1067" spans="1:10" x14ac:dyDescent="0.3">
      <c r="A1067" s="3">
        <v>46008</v>
      </c>
      <c r="B1067" s="5">
        <v>12</v>
      </c>
      <c r="C1067" s="5">
        <v>2025</v>
      </c>
      <c r="D1067" s="5">
        <v>4</v>
      </c>
      <c r="E1067" t="s">
        <v>22</v>
      </c>
      <c r="F1067" t="s">
        <v>17</v>
      </c>
      <c r="G1067" t="s">
        <v>57</v>
      </c>
      <c r="H1067" t="s">
        <v>63</v>
      </c>
      <c r="I1067" s="7">
        <v>-7525.5</v>
      </c>
    </row>
    <row r="1068" spans="1:10" x14ac:dyDescent="0.3">
      <c r="A1068" s="3">
        <v>46009</v>
      </c>
      <c r="B1068" s="5">
        <v>12</v>
      </c>
      <c r="C1068" s="5">
        <v>2025</v>
      </c>
      <c r="D1068" s="5">
        <v>4</v>
      </c>
      <c r="E1068" t="s">
        <v>14</v>
      </c>
      <c r="F1068" t="s">
        <v>17</v>
      </c>
      <c r="G1068" t="s">
        <v>74</v>
      </c>
      <c r="H1068" t="s">
        <v>76</v>
      </c>
      <c r="I1068" s="7">
        <v>-10920.34</v>
      </c>
    </row>
    <row r="1069" spans="1:10" x14ac:dyDescent="0.3">
      <c r="A1069" s="3">
        <v>46010</v>
      </c>
      <c r="B1069" s="5">
        <v>12</v>
      </c>
      <c r="C1069" s="5">
        <v>2025</v>
      </c>
      <c r="D1069" s="5">
        <v>4</v>
      </c>
      <c r="E1069" t="s">
        <v>37</v>
      </c>
      <c r="F1069" t="s">
        <v>10</v>
      </c>
      <c r="G1069" t="s">
        <v>40</v>
      </c>
      <c r="H1069" t="s">
        <v>55</v>
      </c>
      <c r="I1069" s="7">
        <v>4405.1400000000003</v>
      </c>
      <c r="J1069" s="7">
        <v>4423.62</v>
      </c>
    </row>
    <row r="1070" spans="1:10" x14ac:dyDescent="0.3">
      <c r="A1070" s="3">
        <v>46012</v>
      </c>
      <c r="B1070" s="5">
        <v>12</v>
      </c>
      <c r="C1070" s="5">
        <v>2025</v>
      </c>
      <c r="D1070" s="5">
        <v>4</v>
      </c>
      <c r="E1070" t="s">
        <v>14</v>
      </c>
      <c r="F1070" t="s">
        <v>10</v>
      </c>
      <c r="G1070" t="s">
        <v>40</v>
      </c>
      <c r="H1070" t="s">
        <v>41</v>
      </c>
      <c r="I1070" s="7">
        <v>26217.49</v>
      </c>
      <c r="J1070" s="7">
        <v>24658.26</v>
      </c>
    </row>
    <row r="1071" spans="1:10" x14ac:dyDescent="0.3">
      <c r="A1071" s="3">
        <v>46013</v>
      </c>
      <c r="B1071" s="5">
        <v>12</v>
      </c>
      <c r="C1071" s="5">
        <v>2025</v>
      </c>
      <c r="D1071" s="5">
        <v>4</v>
      </c>
      <c r="E1071" t="s">
        <v>37</v>
      </c>
      <c r="F1071" t="s">
        <v>10</v>
      </c>
      <c r="G1071" t="s">
        <v>15</v>
      </c>
      <c r="H1071" t="s">
        <v>38</v>
      </c>
      <c r="I1071" s="7">
        <v>5528.62</v>
      </c>
      <c r="J1071" s="7">
        <v>5147.46</v>
      </c>
    </row>
    <row r="1072" spans="1:10" x14ac:dyDescent="0.3">
      <c r="A1072" s="3">
        <v>46013</v>
      </c>
      <c r="B1072" s="5">
        <v>12</v>
      </c>
      <c r="C1072" s="5">
        <v>2025</v>
      </c>
      <c r="D1072" s="5">
        <v>4</v>
      </c>
      <c r="E1072" t="s">
        <v>37</v>
      </c>
      <c r="F1072" t="s">
        <v>17</v>
      </c>
      <c r="G1072" t="s">
        <v>15</v>
      </c>
      <c r="H1072" t="s">
        <v>39</v>
      </c>
      <c r="I1072" s="7">
        <v>-6517.71</v>
      </c>
    </row>
    <row r="1073" spans="1:10" x14ac:dyDescent="0.3">
      <c r="A1073" s="3">
        <v>46013</v>
      </c>
      <c r="B1073" s="5">
        <v>12</v>
      </c>
      <c r="C1073" s="5">
        <v>2025</v>
      </c>
      <c r="D1073" s="5">
        <v>4</v>
      </c>
      <c r="E1073" t="s">
        <v>14</v>
      </c>
      <c r="F1073" t="s">
        <v>17</v>
      </c>
      <c r="G1073" t="s">
        <v>40</v>
      </c>
      <c r="H1073" t="s">
        <v>42</v>
      </c>
      <c r="I1073" s="7">
        <v>-12853.1</v>
      </c>
    </row>
    <row r="1074" spans="1:10" x14ac:dyDescent="0.3">
      <c r="A1074" s="3">
        <v>46013</v>
      </c>
      <c r="B1074" s="5">
        <v>12</v>
      </c>
      <c r="C1074" s="5">
        <v>2025</v>
      </c>
      <c r="D1074" s="5">
        <v>4</v>
      </c>
      <c r="E1074" t="s">
        <v>34</v>
      </c>
      <c r="F1074" t="s">
        <v>10</v>
      </c>
      <c r="G1074" t="s">
        <v>57</v>
      </c>
      <c r="H1074" t="s">
        <v>70</v>
      </c>
      <c r="I1074" s="7">
        <v>10686.11</v>
      </c>
      <c r="J1074" s="7">
        <v>10933.44</v>
      </c>
    </row>
    <row r="1075" spans="1:10" x14ac:dyDescent="0.3">
      <c r="A1075" s="3">
        <v>46014</v>
      </c>
      <c r="B1075" s="5">
        <v>12</v>
      </c>
      <c r="C1075" s="5">
        <v>2025</v>
      </c>
      <c r="D1075" s="5">
        <v>4</v>
      </c>
      <c r="E1075" t="s">
        <v>31</v>
      </c>
      <c r="F1075" t="s">
        <v>10</v>
      </c>
      <c r="G1075" t="s">
        <v>15</v>
      </c>
      <c r="H1075" t="s">
        <v>32</v>
      </c>
      <c r="I1075" s="7">
        <v>4216.38</v>
      </c>
      <c r="J1075" s="7">
        <v>4591.6499999999996</v>
      </c>
    </row>
    <row r="1076" spans="1:10" x14ac:dyDescent="0.3">
      <c r="A1076" s="3">
        <v>46016</v>
      </c>
      <c r="B1076" s="5">
        <v>12</v>
      </c>
      <c r="C1076" s="5">
        <v>2025</v>
      </c>
      <c r="D1076" s="5">
        <v>4</v>
      </c>
      <c r="E1076" t="s">
        <v>14</v>
      </c>
      <c r="F1076" t="s">
        <v>10</v>
      </c>
      <c r="G1076" t="s">
        <v>57</v>
      </c>
      <c r="H1076" t="s">
        <v>58</v>
      </c>
      <c r="I1076" s="7">
        <v>22967.85</v>
      </c>
      <c r="J1076" s="7">
        <v>23536.89</v>
      </c>
    </row>
    <row r="1077" spans="1:10" x14ac:dyDescent="0.3">
      <c r="A1077" s="3">
        <v>46016</v>
      </c>
      <c r="B1077" s="5">
        <v>12</v>
      </c>
      <c r="C1077" s="5">
        <v>2025</v>
      </c>
      <c r="D1077" s="5">
        <v>4</v>
      </c>
      <c r="E1077" t="s">
        <v>28</v>
      </c>
      <c r="F1077" t="s">
        <v>10</v>
      </c>
      <c r="G1077" t="s">
        <v>57</v>
      </c>
      <c r="H1077" t="s">
        <v>66</v>
      </c>
      <c r="I1077" s="7">
        <v>11267.5</v>
      </c>
      <c r="J1077" s="7">
        <v>11200.18</v>
      </c>
    </row>
    <row r="1078" spans="1:10" x14ac:dyDescent="0.3">
      <c r="A1078" s="3">
        <v>46016</v>
      </c>
      <c r="B1078" s="5">
        <v>12</v>
      </c>
      <c r="C1078" s="5">
        <v>2025</v>
      </c>
      <c r="D1078" s="5">
        <v>4</v>
      </c>
      <c r="E1078" t="s">
        <v>28</v>
      </c>
      <c r="F1078" t="s">
        <v>17</v>
      </c>
      <c r="G1078" t="s">
        <v>57</v>
      </c>
      <c r="H1078" t="s">
        <v>67</v>
      </c>
      <c r="I1078" s="7">
        <v>-5932.81</v>
      </c>
    </row>
    <row r="1079" spans="1:10" x14ac:dyDescent="0.3">
      <c r="A1079" s="3">
        <v>46017</v>
      </c>
      <c r="B1079" s="5">
        <v>12</v>
      </c>
      <c r="C1079" s="5">
        <v>2025</v>
      </c>
      <c r="D1079" s="5">
        <v>4</v>
      </c>
      <c r="E1079" t="s">
        <v>34</v>
      </c>
      <c r="F1079" t="s">
        <v>17</v>
      </c>
      <c r="G1079" t="s">
        <v>57</v>
      </c>
      <c r="H1079" t="s">
        <v>71</v>
      </c>
      <c r="I1079" s="7">
        <v>-9819.68</v>
      </c>
    </row>
    <row r="1080" spans="1:10" x14ac:dyDescent="0.3">
      <c r="A1080" s="3">
        <v>46017</v>
      </c>
      <c r="B1080" s="5">
        <v>12</v>
      </c>
      <c r="C1080" s="5">
        <v>2025</v>
      </c>
      <c r="D1080" s="5">
        <v>4</v>
      </c>
      <c r="E1080" t="s">
        <v>19</v>
      </c>
      <c r="F1080" t="s">
        <v>17</v>
      </c>
      <c r="G1080" t="s">
        <v>74</v>
      </c>
      <c r="H1080" t="s">
        <v>78</v>
      </c>
      <c r="I1080" s="7">
        <v>-6232.53</v>
      </c>
    </row>
    <row r="1081" spans="1:10" x14ac:dyDescent="0.3">
      <c r="A1081" s="3">
        <v>46018</v>
      </c>
      <c r="B1081" s="5">
        <v>12</v>
      </c>
      <c r="C1081" s="5">
        <v>2025</v>
      </c>
      <c r="D1081" s="5">
        <v>4</v>
      </c>
      <c r="E1081" t="s">
        <v>31</v>
      </c>
      <c r="F1081" t="s">
        <v>17</v>
      </c>
      <c r="G1081" t="s">
        <v>15</v>
      </c>
      <c r="H1081" t="s">
        <v>33</v>
      </c>
      <c r="I1081" s="7">
        <v>-3404.21</v>
      </c>
    </row>
    <row r="1082" spans="1:10" x14ac:dyDescent="0.3">
      <c r="A1082" s="3">
        <v>46018</v>
      </c>
      <c r="B1082" s="5">
        <v>12</v>
      </c>
      <c r="C1082" s="5">
        <v>2025</v>
      </c>
      <c r="D1082" s="5">
        <v>4</v>
      </c>
      <c r="E1082" t="s">
        <v>25</v>
      </c>
      <c r="F1082" t="s">
        <v>17</v>
      </c>
      <c r="G1082" t="s">
        <v>40</v>
      </c>
      <c r="H1082" t="s">
        <v>48</v>
      </c>
      <c r="I1082" s="7">
        <v>-5584.53</v>
      </c>
    </row>
    <row r="1083" spans="1:10" x14ac:dyDescent="0.3">
      <c r="A1083" s="3">
        <v>46018</v>
      </c>
      <c r="B1083" s="5">
        <v>12</v>
      </c>
      <c r="C1083" s="5">
        <v>2025</v>
      </c>
      <c r="D1083" s="5">
        <v>4</v>
      </c>
      <c r="E1083" t="s">
        <v>22</v>
      </c>
      <c r="F1083" t="s">
        <v>10</v>
      </c>
      <c r="G1083" t="s">
        <v>57</v>
      </c>
      <c r="H1083" t="s">
        <v>62</v>
      </c>
      <c r="I1083" s="7">
        <v>16212.07</v>
      </c>
      <c r="J1083" s="7">
        <v>16833.89</v>
      </c>
    </row>
    <row r="1084" spans="1:10" x14ac:dyDescent="0.3">
      <c r="A1084" s="3">
        <v>46020</v>
      </c>
      <c r="B1084" s="5">
        <v>12</v>
      </c>
      <c r="C1084" s="5">
        <v>2025</v>
      </c>
      <c r="D1084" s="5">
        <v>4</v>
      </c>
      <c r="E1084" t="s">
        <v>22</v>
      </c>
      <c r="F1084" t="s">
        <v>10</v>
      </c>
      <c r="G1084" t="s">
        <v>40</v>
      </c>
      <c r="H1084" t="s">
        <v>45</v>
      </c>
      <c r="I1084" s="7">
        <v>17773.080000000002</v>
      </c>
      <c r="J1084" s="7">
        <v>19250.68</v>
      </c>
    </row>
    <row r="1085" spans="1:10" x14ac:dyDescent="0.3">
      <c r="A1085" s="3">
        <v>46021</v>
      </c>
      <c r="B1085" s="5">
        <v>12</v>
      </c>
      <c r="C1085" s="5">
        <v>2025</v>
      </c>
      <c r="D1085" s="5">
        <v>4</v>
      </c>
      <c r="E1085" t="s">
        <v>25</v>
      </c>
      <c r="F1085" t="s">
        <v>10</v>
      </c>
      <c r="G1085" t="s">
        <v>15</v>
      </c>
      <c r="H1085" t="s">
        <v>26</v>
      </c>
      <c r="I1085" s="7">
        <v>7274.51</v>
      </c>
      <c r="J1085" s="7">
        <v>6844.96</v>
      </c>
    </row>
    <row r="1086" spans="1:10" x14ac:dyDescent="0.3">
      <c r="A1086" s="3">
        <v>46021</v>
      </c>
      <c r="B1086" s="5">
        <v>12</v>
      </c>
      <c r="C1086" s="5">
        <v>2025</v>
      </c>
      <c r="D1086" s="5">
        <v>4</v>
      </c>
      <c r="E1086" t="s">
        <v>37</v>
      </c>
      <c r="F1086" t="s">
        <v>17</v>
      </c>
      <c r="G1086" t="s">
        <v>57</v>
      </c>
      <c r="H1086" t="s">
        <v>73</v>
      </c>
      <c r="I1086" s="7">
        <v>-1445.37</v>
      </c>
    </row>
    <row r="1087" spans="1:10" x14ac:dyDescent="0.3">
      <c r="A1087" s="3">
        <v>46021</v>
      </c>
      <c r="B1087" s="5">
        <v>12</v>
      </c>
      <c r="C1087" s="5">
        <v>2025</v>
      </c>
      <c r="D1087" s="5">
        <v>4</v>
      </c>
      <c r="E1087" t="s">
        <v>34</v>
      </c>
      <c r="F1087" t="s">
        <v>10</v>
      </c>
      <c r="G1087" t="s">
        <v>74</v>
      </c>
      <c r="H1087" t="s">
        <v>87</v>
      </c>
      <c r="I1087" s="7">
        <v>10304.17</v>
      </c>
      <c r="J1087" s="7">
        <v>10266.540000000001</v>
      </c>
    </row>
    <row r="1088" spans="1:10" x14ac:dyDescent="0.3">
      <c r="A1088" s="3">
        <v>46022</v>
      </c>
      <c r="B1088" s="5">
        <v>12</v>
      </c>
      <c r="C1088" s="5">
        <v>2025</v>
      </c>
      <c r="D1088" s="5">
        <v>4</v>
      </c>
      <c r="E1088" t="s">
        <v>37</v>
      </c>
      <c r="F1088" t="s">
        <v>10</v>
      </c>
      <c r="G1088" t="s">
        <v>57</v>
      </c>
      <c r="H1088" t="s">
        <v>72</v>
      </c>
      <c r="I1088" s="7">
        <v>4395.8599999999997</v>
      </c>
      <c r="J1088" s="7">
        <v>4433.8599999999997</v>
      </c>
    </row>
    <row r="1089" spans="1:10" x14ac:dyDescent="0.3">
      <c r="A1089" s="3">
        <v>46022</v>
      </c>
      <c r="B1089" s="5">
        <v>12</v>
      </c>
      <c r="C1089" s="5">
        <v>2025</v>
      </c>
      <c r="D1089" s="5">
        <v>4</v>
      </c>
      <c r="E1089" t="s">
        <v>28</v>
      </c>
      <c r="F1089" t="s">
        <v>10</v>
      </c>
      <c r="G1089" t="s">
        <v>74</v>
      </c>
      <c r="H1089" t="s">
        <v>83</v>
      </c>
      <c r="I1089" s="7">
        <v>13214.55</v>
      </c>
      <c r="J1089" s="7">
        <v>13032.46</v>
      </c>
    </row>
    <row r="1090" spans="1:10" x14ac:dyDescent="0.3">
      <c r="A1090" s="3">
        <v>46023</v>
      </c>
      <c r="B1090" s="5">
        <v>1</v>
      </c>
      <c r="C1090" s="5">
        <v>2026</v>
      </c>
      <c r="D1090" s="5">
        <v>1</v>
      </c>
      <c r="E1090" t="s">
        <v>34</v>
      </c>
      <c r="F1090" t="s">
        <v>10</v>
      </c>
      <c r="G1090" t="s">
        <v>40</v>
      </c>
      <c r="H1090" t="s">
        <v>53</v>
      </c>
      <c r="I1090" s="7">
        <v>13087.97</v>
      </c>
      <c r="J1090" s="7">
        <v>13105.44</v>
      </c>
    </row>
    <row r="1091" spans="1:10" x14ac:dyDescent="0.3">
      <c r="A1091" s="3">
        <v>46024</v>
      </c>
      <c r="B1091" s="5">
        <v>1</v>
      </c>
      <c r="C1091" s="5">
        <v>2026</v>
      </c>
      <c r="D1091" s="5">
        <v>1</v>
      </c>
      <c r="E1091" t="s">
        <v>14</v>
      </c>
      <c r="F1091" t="s">
        <v>10</v>
      </c>
      <c r="G1091" t="s">
        <v>15</v>
      </c>
      <c r="H1091" t="s">
        <v>16</v>
      </c>
      <c r="I1091" s="7">
        <v>26608.37</v>
      </c>
      <c r="J1091" s="7">
        <v>26627.96</v>
      </c>
    </row>
    <row r="1092" spans="1:10" x14ac:dyDescent="0.3">
      <c r="A1092" s="3">
        <v>46026</v>
      </c>
      <c r="B1092" s="5">
        <v>1</v>
      </c>
      <c r="C1092" s="5">
        <v>2026</v>
      </c>
      <c r="D1092" s="5">
        <v>1</v>
      </c>
      <c r="E1092" t="s">
        <v>25</v>
      </c>
      <c r="F1092" t="s">
        <v>17</v>
      </c>
      <c r="G1092" t="s">
        <v>15</v>
      </c>
      <c r="H1092" t="s">
        <v>27</v>
      </c>
      <c r="I1092" s="7">
        <v>-4468.8</v>
      </c>
    </row>
    <row r="1093" spans="1:10" x14ac:dyDescent="0.3">
      <c r="A1093" s="3">
        <v>46026</v>
      </c>
      <c r="B1093" s="5">
        <v>1</v>
      </c>
      <c r="C1093" s="5">
        <v>2026</v>
      </c>
      <c r="D1093" s="5">
        <v>1</v>
      </c>
      <c r="E1093" t="s">
        <v>34</v>
      </c>
      <c r="F1093" t="s">
        <v>10</v>
      </c>
      <c r="G1093" t="s">
        <v>15</v>
      </c>
      <c r="H1093" t="s">
        <v>35</v>
      </c>
      <c r="I1093" s="7">
        <v>11251.12</v>
      </c>
      <c r="J1093" s="7">
        <v>10928.07</v>
      </c>
    </row>
    <row r="1094" spans="1:10" x14ac:dyDescent="0.3">
      <c r="A1094" s="3">
        <v>46026</v>
      </c>
      <c r="B1094" s="5">
        <v>1</v>
      </c>
      <c r="C1094" s="5">
        <v>2026</v>
      </c>
      <c r="D1094" s="5">
        <v>1</v>
      </c>
      <c r="E1094" t="s">
        <v>31</v>
      </c>
      <c r="F1094" t="s">
        <v>10</v>
      </c>
      <c r="G1094" t="s">
        <v>74</v>
      </c>
      <c r="H1094" t="s">
        <v>85</v>
      </c>
      <c r="I1094" s="7">
        <v>3668.44</v>
      </c>
      <c r="J1094" s="7">
        <v>3821.04</v>
      </c>
    </row>
    <row r="1095" spans="1:10" x14ac:dyDescent="0.3">
      <c r="A1095" s="3">
        <v>46028</v>
      </c>
      <c r="B1095" s="5">
        <v>1</v>
      </c>
      <c r="C1095" s="5">
        <v>2026</v>
      </c>
      <c r="D1095" s="5">
        <v>1</v>
      </c>
      <c r="E1095" t="s">
        <v>22</v>
      </c>
      <c r="F1095" t="s">
        <v>10</v>
      </c>
      <c r="G1095" t="s">
        <v>57</v>
      </c>
      <c r="H1095" t="s">
        <v>62</v>
      </c>
      <c r="I1095" s="7">
        <v>20543.02</v>
      </c>
      <c r="J1095" s="7">
        <v>21126.14</v>
      </c>
    </row>
    <row r="1096" spans="1:10" x14ac:dyDescent="0.3">
      <c r="A1096" s="3">
        <v>46028</v>
      </c>
      <c r="B1096" s="5">
        <v>1</v>
      </c>
      <c r="C1096" s="5">
        <v>2026</v>
      </c>
      <c r="D1096" s="5">
        <v>1</v>
      </c>
      <c r="E1096" t="s">
        <v>22</v>
      </c>
      <c r="F1096" t="s">
        <v>17</v>
      </c>
      <c r="G1096" t="s">
        <v>57</v>
      </c>
      <c r="H1096" t="s">
        <v>63</v>
      </c>
      <c r="I1096" s="7">
        <v>-7356.44</v>
      </c>
    </row>
    <row r="1097" spans="1:10" x14ac:dyDescent="0.3">
      <c r="A1097" s="3">
        <v>46029</v>
      </c>
      <c r="B1097" s="5">
        <v>1</v>
      </c>
      <c r="C1097" s="5">
        <v>2026</v>
      </c>
      <c r="D1097" s="5">
        <v>1</v>
      </c>
      <c r="E1097" t="s">
        <v>28</v>
      </c>
      <c r="F1097" t="s">
        <v>17</v>
      </c>
      <c r="G1097" t="s">
        <v>40</v>
      </c>
      <c r="H1097" t="s">
        <v>50</v>
      </c>
      <c r="I1097" s="7">
        <v>-4587.92</v>
      </c>
    </row>
    <row r="1098" spans="1:10" x14ac:dyDescent="0.3">
      <c r="A1098" s="3">
        <v>46029</v>
      </c>
      <c r="B1098" s="5">
        <v>1</v>
      </c>
      <c r="C1098" s="5">
        <v>2026</v>
      </c>
      <c r="D1098" s="5">
        <v>1</v>
      </c>
      <c r="E1098" t="s">
        <v>37</v>
      </c>
      <c r="F1098" t="s">
        <v>17</v>
      </c>
      <c r="G1098" t="s">
        <v>57</v>
      </c>
      <c r="H1098" t="s">
        <v>73</v>
      </c>
      <c r="I1098" s="7">
        <v>-2085.2399999999998</v>
      </c>
    </row>
    <row r="1099" spans="1:10" x14ac:dyDescent="0.3">
      <c r="A1099" s="3">
        <v>46030</v>
      </c>
      <c r="B1099" s="5">
        <v>1</v>
      </c>
      <c r="C1099" s="5">
        <v>2026</v>
      </c>
      <c r="D1099" s="5">
        <v>1</v>
      </c>
      <c r="E1099" t="s">
        <v>19</v>
      </c>
      <c r="F1099" t="s">
        <v>17</v>
      </c>
      <c r="G1099" t="s">
        <v>40</v>
      </c>
      <c r="H1099" t="s">
        <v>44</v>
      </c>
      <c r="I1099" s="7">
        <v>-15972.67</v>
      </c>
    </row>
    <row r="1100" spans="1:10" x14ac:dyDescent="0.3">
      <c r="A1100" s="3">
        <v>46030</v>
      </c>
      <c r="B1100" s="5">
        <v>1</v>
      </c>
      <c r="C1100" s="5">
        <v>2026</v>
      </c>
      <c r="D1100" s="5">
        <v>1</v>
      </c>
      <c r="E1100" t="s">
        <v>25</v>
      </c>
      <c r="F1100" t="s">
        <v>17</v>
      </c>
      <c r="G1100" t="s">
        <v>40</v>
      </c>
      <c r="H1100" t="s">
        <v>48</v>
      </c>
      <c r="I1100" s="7">
        <v>-4351.84</v>
      </c>
    </row>
    <row r="1101" spans="1:10" x14ac:dyDescent="0.3">
      <c r="A1101" s="3">
        <v>46030</v>
      </c>
      <c r="B1101" s="5">
        <v>1</v>
      </c>
      <c r="C1101" s="5">
        <v>2026</v>
      </c>
      <c r="D1101" s="5">
        <v>1</v>
      </c>
      <c r="E1101" t="s">
        <v>31</v>
      </c>
      <c r="F1101" t="s">
        <v>17</v>
      </c>
      <c r="G1101" t="s">
        <v>40</v>
      </c>
      <c r="H1101" t="s">
        <v>52</v>
      </c>
      <c r="I1101" s="7">
        <v>-1621.18</v>
      </c>
    </row>
    <row r="1102" spans="1:10" x14ac:dyDescent="0.3">
      <c r="A1102" s="3">
        <v>46030</v>
      </c>
      <c r="B1102" s="5">
        <v>1</v>
      </c>
      <c r="C1102" s="5">
        <v>2026</v>
      </c>
      <c r="D1102" s="5">
        <v>1</v>
      </c>
      <c r="E1102" t="s">
        <v>34</v>
      </c>
      <c r="F1102" t="s">
        <v>17</v>
      </c>
      <c r="G1102" t="s">
        <v>40</v>
      </c>
      <c r="H1102" t="s">
        <v>54</v>
      </c>
      <c r="I1102" s="7">
        <v>-4186.5</v>
      </c>
    </row>
    <row r="1103" spans="1:10" x14ac:dyDescent="0.3">
      <c r="A1103" s="3">
        <v>46030</v>
      </c>
      <c r="B1103" s="5">
        <v>1</v>
      </c>
      <c r="C1103" s="5">
        <v>2026</v>
      </c>
      <c r="D1103" s="5">
        <v>1</v>
      </c>
      <c r="E1103" t="s">
        <v>14</v>
      </c>
      <c r="F1103" t="s">
        <v>17</v>
      </c>
      <c r="G1103" t="s">
        <v>74</v>
      </c>
      <c r="H1103" t="s">
        <v>76</v>
      </c>
      <c r="I1103" s="7">
        <v>-33407.199999999997</v>
      </c>
    </row>
    <row r="1104" spans="1:10" x14ac:dyDescent="0.3">
      <c r="A1104" s="3">
        <v>46031</v>
      </c>
      <c r="B1104" s="5">
        <v>1</v>
      </c>
      <c r="C1104" s="5">
        <v>2026</v>
      </c>
      <c r="D1104" s="5">
        <v>1</v>
      </c>
      <c r="E1104" t="s">
        <v>19</v>
      </c>
      <c r="F1104" t="s">
        <v>17</v>
      </c>
      <c r="G1104" t="s">
        <v>57</v>
      </c>
      <c r="H1104" t="s">
        <v>61</v>
      </c>
      <c r="I1104" s="7">
        <v>-10394.84</v>
      </c>
    </row>
    <row r="1105" spans="1:10" x14ac:dyDescent="0.3">
      <c r="A1105" s="3">
        <v>46031</v>
      </c>
      <c r="B1105" s="5">
        <v>1</v>
      </c>
      <c r="C1105" s="5">
        <v>2026</v>
      </c>
      <c r="D1105" s="5">
        <v>1</v>
      </c>
      <c r="E1105" t="s">
        <v>14</v>
      </c>
      <c r="F1105" t="s">
        <v>10</v>
      </c>
      <c r="G1105" t="s">
        <v>74</v>
      </c>
      <c r="H1105" t="s">
        <v>75</v>
      </c>
      <c r="I1105" s="7">
        <v>23877.09</v>
      </c>
      <c r="J1105" s="7">
        <v>24613.72</v>
      </c>
    </row>
    <row r="1106" spans="1:10" x14ac:dyDescent="0.3">
      <c r="A1106" s="3">
        <v>46032</v>
      </c>
      <c r="B1106" s="5">
        <v>1</v>
      </c>
      <c r="C1106" s="5">
        <v>2026</v>
      </c>
      <c r="D1106" s="5">
        <v>1</v>
      </c>
      <c r="E1106" t="s">
        <v>19</v>
      </c>
      <c r="F1106" t="s">
        <v>17</v>
      </c>
      <c r="G1106" t="s">
        <v>15</v>
      </c>
      <c r="H1106" t="s">
        <v>21</v>
      </c>
      <c r="I1106" s="7">
        <v>-15156.54</v>
      </c>
    </row>
    <row r="1107" spans="1:10" x14ac:dyDescent="0.3">
      <c r="A1107" s="3">
        <v>46033</v>
      </c>
      <c r="B1107" s="5">
        <v>1</v>
      </c>
      <c r="C1107" s="5">
        <v>2026</v>
      </c>
      <c r="D1107" s="5">
        <v>1</v>
      </c>
      <c r="E1107" t="s">
        <v>28</v>
      </c>
      <c r="F1107" t="s">
        <v>10</v>
      </c>
      <c r="G1107" t="s">
        <v>57</v>
      </c>
      <c r="H1107" t="s">
        <v>66</v>
      </c>
      <c r="I1107" s="7">
        <v>16933.53</v>
      </c>
      <c r="J1107" s="7">
        <v>16439.79</v>
      </c>
    </row>
    <row r="1108" spans="1:10" x14ac:dyDescent="0.3">
      <c r="A1108" s="3">
        <v>46034</v>
      </c>
      <c r="B1108" s="5">
        <v>1</v>
      </c>
      <c r="C1108" s="5">
        <v>2026</v>
      </c>
      <c r="D1108" s="5">
        <v>1</v>
      </c>
      <c r="E1108" t="s">
        <v>28</v>
      </c>
      <c r="F1108" t="s">
        <v>10</v>
      </c>
      <c r="G1108" t="s">
        <v>15</v>
      </c>
      <c r="H1108" t="s">
        <v>29</v>
      </c>
      <c r="I1108" s="7">
        <v>13070.48</v>
      </c>
      <c r="J1108" s="7">
        <v>12636.75</v>
      </c>
    </row>
    <row r="1109" spans="1:10" x14ac:dyDescent="0.3">
      <c r="A1109" s="3">
        <v>46034</v>
      </c>
      <c r="B1109" s="5">
        <v>1</v>
      </c>
      <c r="C1109" s="5">
        <v>2026</v>
      </c>
      <c r="D1109" s="5">
        <v>1</v>
      </c>
      <c r="E1109" t="s">
        <v>37</v>
      </c>
      <c r="F1109" t="s">
        <v>17</v>
      </c>
      <c r="G1109" t="s">
        <v>15</v>
      </c>
      <c r="H1109" t="s">
        <v>39</v>
      </c>
      <c r="I1109" s="7">
        <v>-5241.68</v>
      </c>
    </row>
    <row r="1110" spans="1:10" x14ac:dyDescent="0.3">
      <c r="A1110" s="3">
        <v>46034</v>
      </c>
      <c r="B1110" s="5">
        <v>1</v>
      </c>
      <c r="C1110" s="5">
        <v>2026</v>
      </c>
      <c r="D1110" s="5">
        <v>1</v>
      </c>
      <c r="E1110" t="s">
        <v>14</v>
      </c>
      <c r="F1110" t="s">
        <v>17</v>
      </c>
      <c r="G1110" t="s">
        <v>40</v>
      </c>
      <c r="H1110" t="s">
        <v>42</v>
      </c>
      <c r="I1110" s="7">
        <v>-44462.6</v>
      </c>
    </row>
    <row r="1111" spans="1:10" x14ac:dyDescent="0.3">
      <c r="A1111" s="3">
        <v>46034</v>
      </c>
      <c r="B1111" s="5">
        <v>1</v>
      </c>
      <c r="C1111" s="5">
        <v>2026</v>
      </c>
      <c r="D1111" s="5">
        <v>1</v>
      </c>
      <c r="E1111" t="s">
        <v>19</v>
      </c>
      <c r="F1111" t="s">
        <v>10</v>
      </c>
      <c r="G1111" t="s">
        <v>40</v>
      </c>
      <c r="H1111" t="s">
        <v>43</v>
      </c>
      <c r="I1111" s="7">
        <v>20999.73</v>
      </c>
      <c r="J1111" s="7">
        <v>21538.880000000001</v>
      </c>
    </row>
    <row r="1112" spans="1:10" x14ac:dyDescent="0.3">
      <c r="A1112" s="3">
        <v>46035</v>
      </c>
      <c r="B1112" s="5">
        <v>1</v>
      </c>
      <c r="C1112" s="5">
        <v>2026</v>
      </c>
      <c r="D1112" s="5">
        <v>1</v>
      </c>
      <c r="E1112" t="s">
        <v>31</v>
      </c>
      <c r="F1112" t="s">
        <v>17</v>
      </c>
      <c r="G1112" t="s">
        <v>15</v>
      </c>
      <c r="H1112" t="s">
        <v>33</v>
      </c>
      <c r="I1112" s="7">
        <v>-4924.05</v>
      </c>
    </row>
    <row r="1113" spans="1:10" x14ac:dyDescent="0.3">
      <c r="A1113" s="3">
        <v>46036</v>
      </c>
      <c r="B1113" s="5">
        <v>1</v>
      </c>
      <c r="C1113" s="5">
        <v>2026</v>
      </c>
      <c r="D1113" s="5">
        <v>1</v>
      </c>
      <c r="E1113" t="s">
        <v>19</v>
      </c>
      <c r="F1113" t="s">
        <v>10</v>
      </c>
      <c r="G1113" t="s">
        <v>74</v>
      </c>
      <c r="H1113" t="s">
        <v>77</v>
      </c>
      <c r="I1113" s="7">
        <v>15755.81</v>
      </c>
      <c r="J1113" s="7">
        <v>16738.490000000002</v>
      </c>
    </row>
    <row r="1114" spans="1:10" x14ac:dyDescent="0.3">
      <c r="A1114" s="3">
        <v>46038</v>
      </c>
      <c r="B1114" s="5">
        <v>1</v>
      </c>
      <c r="C1114" s="5">
        <v>2026</v>
      </c>
      <c r="D1114" s="5">
        <v>1</v>
      </c>
      <c r="E1114" t="s">
        <v>14</v>
      </c>
      <c r="F1114" t="s">
        <v>10</v>
      </c>
      <c r="G1114" t="s">
        <v>40</v>
      </c>
      <c r="H1114" t="s">
        <v>41</v>
      </c>
      <c r="I1114" s="7">
        <v>33783.99</v>
      </c>
      <c r="J1114" s="7">
        <v>35850.6</v>
      </c>
    </row>
    <row r="1115" spans="1:10" x14ac:dyDescent="0.3">
      <c r="A1115" s="3">
        <v>46038</v>
      </c>
      <c r="B1115" s="5">
        <v>1</v>
      </c>
      <c r="C1115" s="5">
        <v>2026</v>
      </c>
      <c r="D1115" s="5">
        <v>1</v>
      </c>
      <c r="E1115" t="s">
        <v>25</v>
      </c>
      <c r="F1115" t="s">
        <v>17</v>
      </c>
      <c r="G1115" t="s">
        <v>57</v>
      </c>
      <c r="H1115" t="s">
        <v>65</v>
      </c>
      <c r="I1115" s="7">
        <v>-6675.65</v>
      </c>
    </row>
    <row r="1116" spans="1:10" x14ac:dyDescent="0.3">
      <c r="A1116" s="3">
        <v>46039</v>
      </c>
      <c r="B1116" s="5">
        <v>1</v>
      </c>
      <c r="C1116" s="5">
        <v>2026</v>
      </c>
      <c r="D1116" s="5">
        <v>1</v>
      </c>
      <c r="E1116" t="s">
        <v>22</v>
      </c>
      <c r="F1116" t="s">
        <v>17</v>
      </c>
      <c r="G1116" t="s">
        <v>15</v>
      </c>
      <c r="H1116" t="s">
        <v>24</v>
      </c>
      <c r="I1116" s="7">
        <v>-10303.9</v>
      </c>
    </row>
    <row r="1117" spans="1:10" x14ac:dyDescent="0.3">
      <c r="A1117" s="3">
        <v>46039</v>
      </c>
      <c r="B1117" s="5">
        <v>1</v>
      </c>
      <c r="C1117" s="5">
        <v>2026</v>
      </c>
      <c r="D1117" s="5">
        <v>1</v>
      </c>
      <c r="E1117" t="s">
        <v>37</v>
      </c>
      <c r="F1117" t="s">
        <v>17</v>
      </c>
      <c r="G1117" t="s">
        <v>74</v>
      </c>
      <c r="H1117" t="s">
        <v>90</v>
      </c>
      <c r="I1117" s="7">
        <v>-3693.54</v>
      </c>
    </row>
    <row r="1118" spans="1:10" x14ac:dyDescent="0.3">
      <c r="A1118" s="3">
        <v>46040</v>
      </c>
      <c r="B1118" s="5">
        <v>1</v>
      </c>
      <c r="C1118" s="5">
        <v>2026</v>
      </c>
      <c r="D1118" s="5">
        <v>1</v>
      </c>
      <c r="E1118" t="s">
        <v>22</v>
      </c>
      <c r="F1118" t="s">
        <v>17</v>
      </c>
      <c r="G1118" t="s">
        <v>40</v>
      </c>
      <c r="H1118" t="s">
        <v>46</v>
      </c>
      <c r="I1118" s="7">
        <v>-18775.12</v>
      </c>
    </row>
    <row r="1119" spans="1:10" x14ac:dyDescent="0.3">
      <c r="A1119" s="3">
        <v>46040</v>
      </c>
      <c r="B1119" s="5">
        <v>1</v>
      </c>
      <c r="C1119" s="5">
        <v>2026</v>
      </c>
      <c r="D1119" s="5">
        <v>1</v>
      </c>
      <c r="E1119" t="s">
        <v>28</v>
      </c>
      <c r="F1119" t="s">
        <v>17</v>
      </c>
      <c r="G1119" t="s">
        <v>74</v>
      </c>
      <c r="H1119" t="s">
        <v>84</v>
      </c>
      <c r="I1119" s="7">
        <v>-11541</v>
      </c>
    </row>
    <row r="1120" spans="1:10" x14ac:dyDescent="0.3">
      <c r="A1120" s="3">
        <v>46042</v>
      </c>
      <c r="B1120" s="5">
        <v>1</v>
      </c>
      <c r="C1120" s="5">
        <v>2026</v>
      </c>
      <c r="D1120" s="5">
        <v>1</v>
      </c>
      <c r="E1120" t="s">
        <v>14</v>
      </c>
      <c r="F1120" t="s">
        <v>10</v>
      </c>
      <c r="G1120" t="s">
        <v>57</v>
      </c>
      <c r="H1120" t="s">
        <v>58</v>
      </c>
      <c r="I1120" s="7">
        <v>21004.86</v>
      </c>
      <c r="J1120" s="7">
        <v>22752.46</v>
      </c>
    </row>
    <row r="1121" spans="1:10" x14ac:dyDescent="0.3">
      <c r="A1121" s="3">
        <v>46042</v>
      </c>
      <c r="B1121" s="5">
        <v>1</v>
      </c>
      <c r="C1121" s="5">
        <v>2026</v>
      </c>
      <c r="D1121" s="5">
        <v>1</v>
      </c>
      <c r="E1121" t="s">
        <v>14</v>
      </c>
      <c r="F1121" t="s">
        <v>17</v>
      </c>
      <c r="G1121" t="s">
        <v>57</v>
      </c>
      <c r="H1121" t="s">
        <v>59</v>
      </c>
      <c r="I1121" s="7">
        <v>-12323.47</v>
      </c>
    </row>
    <row r="1122" spans="1:10" x14ac:dyDescent="0.3">
      <c r="A1122" s="3">
        <v>46042</v>
      </c>
      <c r="B1122" s="5">
        <v>1</v>
      </c>
      <c r="C1122" s="5">
        <v>2026</v>
      </c>
      <c r="D1122" s="5">
        <v>1</v>
      </c>
      <c r="E1122" t="s">
        <v>25</v>
      </c>
      <c r="F1122" t="s">
        <v>17</v>
      </c>
      <c r="G1122" t="s">
        <v>74</v>
      </c>
      <c r="H1122" t="s">
        <v>82</v>
      </c>
      <c r="I1122" s="7">
        <v>-4958.8</v>
      </c>
    </row>
    <row r="1123" spans="1:10" x14ac:dyDescent="0.3">
      <c r="A1123" s="3">
        <v>46042</v>
      </c>
      <c r="B1123" s="5">
        <v>1</v>
      </c>
      <c r="C1123" s="5">
        <v>2026</v>
      </c>
      <c r="D1123" s="5">
        <v>1</v>
      </c>
      <c r="E1123" t="s">
        <v>28</v>
      </c>
      <c r="F1123" t="s">
        <v>10</v>
      </c>
      <c r="G1123" t="s">
        <v>74</v>
      </c>
      <c r="H1123" t="s">
        <v>83</v>
      </c>
      <c r="I1123" s="7">
        <v>13834.96</v>
      </c>
      <c r="J1123" s="7">
        <v>14047.24</v>
      </c>
    </row>
    <row r="1124" spans="1:10" x14ac:dyDescent="0.3">
      <c r="A1124" s="3">
        <v>46042</v>
      </c>
      <c r="B1124" s="5">
        <v>1</v>
      </c>
      <c r="C1124" s="5">
        <v>2026</v>
      </c>
      <c r="D1124" s="5">
        <v>1</v>
      </c>
      <c r="E1124" t="s">
        <v>31</v>
      </c>
      <c r="F1124" t="s">
        <v>17</v>
      </c>
      <c r="G1124" t="s">
        <v>74</v>
      </c>
      <c r="H1124" t="s">
        <v>86</v>
      </c>
      <c r="I1124" s="7">
        <v>-4307.59</v>
      </c>
    </row>
    <row r="1125" spans="1:10" x14ac:dyDescent="0.3">
      <c r="A1125" s="3">
        <v>46042</v>
      </c>
      <c r="B1125" s="5">
        <v>1</v>
      </c>
      <c r="C1125" s="5">
        <v>2026</v>
      </c>
      <c r="D1125" s="5">
        <v>1</v>
      </c>
      <c r="E1125" t="s">
        <v>34</v>
      </c>
      <c r="F1125" t="s">
        <v>17</v>
      </c>
      <c r="G1125" t="s">
        <v>74</v>
      </c>
      <c r="H1125" t="s">
        <v>88</v>
      </c>
      <c r="I1125" s="7">
        <v>-11162.289999999999</v>
      </c>
    </row>
    <row r="1126" spans="1:10" x14ac:dyDescent="0.3">
      <c r="A1126" s="3">
        <v>46044</v>
      </c>
      <c r="B1126" s="5">
        <v>1</v>
      </c>
      <c r="C1126" s="5">
        <v>2026</v>
      </c>
      <c r="D1126" s="5">
        <v>1</v>
      </c>
      <c r="E1126" t="s">
        <v>31</v>
      </c>
      <c r="F1126" t="s">
        <v>10</v>
      </c>
      <c r="G1126" t="s">
        <v>57</v>
      </c>
      <c r="H1126" t="s">
        <v>68</v>
      </c>
      <c r="I1126" s="7">
        <v>3639.57</v>
      </c>
      <c r="J1126" s="7">
        <v>3778.03</v>
      </c>
    </row>
    <row r="1127" spans="1:10" x14ac:dyDescent="0.3">
      <c r="A1127" s="3">
        <v>46045</v>
      </c>
      <c r="B1127" s="5">
        <v>1</v>
      </c>
      <c r="C1127" s="5">
        <v>2026</v>
      </c>
      <c r="D1127" s="5">
        <v>1</v>
      </c>
      <c r="E1127" t="s">
        <v>14</v>
      </c>
      <c r="F1127" t="s">
        <v>17</v>
      </c>
      <c r="G1127" t="s">
        <v>15</v>
      </c>
      <c r="H1127" t="s">
        <v>18</v>
      </c>
      <c r="I1127" s="7">
        <v>-16585.02</v>
      </c>
    </row>
    <row r="1128" spans="1:10" x14ac:dyDescent="0.3">
      <c r="A1128" s="3">
        <v>46045</v>
      </c>
      <c r="B1128" s="5">
        <v>1</v>
      </c>
      <c r="C1128" s="5">
        <v>2026</v>
      </c>
      <c r="D1128" s="5">
        <v>1</v>
      </c>
      <c r="E1128" t="s">
        <v>31</v>
      </c>
      <c r="F1128" t="s">
        <v>17</v>
      </c>
      <c r="G1128" t="s">
        <v>57</v>
      </c>
      <c r="H1128" t="s">
        <v>69</v>
      </c>
      <c r="I1128" s="7">
        <v>-2398.83</v>
      </c>
    </row>
    <row r="1129" spans="1:10" x14ac:dyDescent="0.3">
      <c r="A1129" s="3">
        <v>46046</v>
      </c>
      <c r="B1129" s="5">
        <v>1</v>
      </c>
      <c r="C1129" s="5">
        <v>2026</v>
      </c>
      <c r="D1129" s="5">
        <v>1</v>
      </c>
      <c r="E1129" t="s">
        <v>22</v>
      </c>
      <c r="F1129" t="s">
        <v>10</v>
      </c>
      <c r="G1129" t="s">
        <v>15</v>
      </c>
      <c r="H1129" t="s">
        <v>23</v>
      </c>
      <c r="I1129" s="7">
        <v>27061.88</v>
      </c>
      <c r="J1129" s="7">
        <v>29204.87</v>
      </c>
    </row>
    <row r="1130" spans="1:10" x14ac:dyDescent="0.3">
      <c r="A1130" s="3">
        <v>46046</v>
      </c>
      <c r="B1130" s="5">
        <v>1</v>
      </c>
      <c r="C1130" s="5">
        <v>2026</v>
      </c>
      <c r="D1130" s="5">
        <v>1</v>
      </c>
      <c r="E1130" t="s">
        <v>34</v>
      </c>
      <c r="F1130" t="s">
        <v>10</v>
      </c>
      <c r="G1130" t="s">
        <v>57</v>
      </c>
      <c r="H1130" t="s">
        <v>70</v>
      </c>
      <c r="I1130" s="7">
        <v>10805.59</v>
      </c>
      <c r="J1130" s="7">
        <v>10678.79</v>
      </c>
    </row>
    <row r="1131" spans="1:10" x14ac:dyDescent="0.3">
      <c r="A1131" s="3">
        <v>46046</v>
      </c>
      <c r="B1131" s="5">
        <v>1</v>
      </c>
      <c r="C1131" s="5">
        <v>2026</v>
      </c>
      <c r="D1131" s="5">
        <v>1</v>
      </c>
      <c r="E1131" t="s">
        <v>37</v>
      </c>
      <c r="F1131" t="s">
        <v>10</v>
      </c>
      <c r="G1131" t="s">
        <v>74</v>
      </c>
      <c r="H1131" t="s">
        <v>89</v>
      </c>
      <c r="I1131" s="7">
        <v>4207.29</v>
      </c>
      <c r="J1131" s="7">
        <v>4558.4799999999996</v>
      </c>
    </row>
    <row r="1132" spans="1:10" x14ac:dyDescent="0.3">
      <c r="A1132" s="3">
        <v>46047</v>
      </c>
      <c r="B1132" s="5">
        <v>1</v>
      </c>
      <c r="C1132" s="5">
        <v>2026</v>
      </c>
      <c r="D1132" s="5">
        <v>1</v>
      </c>
      <c r="E1132" t="s">
        <v>37</v>
      </c>
      <c r="F1132" t="s">
        <v>10</v>
      </c>
      <c r="G1132" t="s">
        <v>40</v>
      </c>
      <c r="H1132" t="s">
        <v>55</v>
      </c>
      <c r="I1132" s="7">
        <v>5535.68</v>
      </c>
      <c r="J1132" s="7">
        <v>5639.74</v>
      </c>
    </row>
    <row r="1133" spans="1:10" x14ac:dyDescent="0.3">
      <c r="A1133" s="3">
        <v>46048</v>
      </c>
      <c r="B1133" s="5">
        <v>1</v>
      </c>
      <c r="C1133" s="5">
        <v>2026</v>
      </c>
      <c r="D1133" s="5">
        <v>1</v>
      </c>
      <c r="E1133" t="s">
        <v>25</v>
      </c>
      <c r="F1133" t="s">
        <v>10</v>
      </c>
      <c r="G1133" t="s">
        <v>15</v>
      </c>
      <c r="H1133" t="s">
        <v>26</v>
      </c>
      <c r="I1133" s="7">
        <v>7821.91</v>
      </c>
      <c r="J1133" s="7">
        <v>8246.52</v>
      </c>
    </row>
    <row r="1134" spans="1:10" x14ac:dyDescent="0.3">
      <c r="A1134" s="3">
        <v>46048</v>
      </c>
      <c r="B1134" s="5">
        <v>1</v>
      </c>
      <c r="C1134" s="5">
        <v>2026</v>
      </c>
      <c r="D1134" s="5">
        <v>1</v>
      </c>
      <c r="E1134" t="s">
        <v>31</v>
      </c>
      <c r="F1134" t="s">
        <v>10</v>
      </c>
      <c r="G1134" t="s">
        <v>15</v>
      </c>
      <c r="H1134" t="s">
        <v>32</v>
      </c>
      <c r="I1134" s="7">
        <v>3865.83</v>
      </c>
      <c r="J1134" s="7">
        <v>4057.65</v>
      </c>
    </row>
    <row r="1135" spans="1:10" x14ac:dyDescent="0.3">
      <c r="A1135" s="3">
        <v>46048</v>
      </c>
      <c r="B1135" s="5">
        <v>1</v>
      </c>
      <c r="C1135" s="5">
        <v>2026</v>
      </c>
      <c r="D1135" s="5">
        <v>1</v>
      </c>
      <c r="E1135" t="s">
        <v>34</v>
      </c>
      <c r="F1135" t="s">
        <v>17</v>
      </c>
      <c r="G1135" t="s">
        <v>15</v>
      </c>
      <c r="H1135" t="s">
        <v>36</v>
      </c>
      <c r="I1135" s="7">
        <v>-8419.3799999999992</v>
      </c>
    </row>
    <row r="1136" spans="1:10" x14ac:dyDescent="0.3">
      <c r="A1136" s="3">
        <v>46048</v>
      </c>
      <c r="B1136" s="5">
        <v>1</v>
      </c>
      <c r="C1136" s="5">
        <v>2026</v>
      </c>
      <c r="D1136" s="5">
        <v>1</v>
      </c>
      <c r="E1136" t="s">
        <v>25</v>
      </c>
      <c r="F1136" t="s">
        <v>10</v>
      </c>
      <c r="G1136" t="s">
        <v>57</v>
      </c>
      <c r="H1136" t="s">
        <v>64</v>
      </c>
      <c r="I1136" s="7">
        <v>7776.05</v>
      </c>
      <c r="J1136" s="7">
        <v>8489.27</v>
      </c>
    </row>
    <row r="1137" spans="1:10" x14ac:dyDescent="0.3">
      <c r="A1137" s="3">
        <v>46048</v>
      </c>
      <c r="B1137" s="5">
        <v>1</v>
      </c>
      <c r="C1137" s="5">
        <v>2026</v>
      </c>
      <c r="D1137" s="5">
        <v>1</v>
      </c>
      <c r="E1137" t="s">
        <v>19</v>
      </c>
      <c r="F1137" t="s">
        <v>17</v>
      </c>
      <c r="G1137" t="s">
        <v>74</v>
      </c>
      <c r="H1137" t="s">
        <v>78</v>
      </c>
      <c r="I1137" s="7">
        <v>-8676.64</v>
      </c>
    </row>
    <row r="1138" spans="1:10" x14ac:dyDescent="0.3">
      <c r="A1138" s="3">
        <v>46048</v>
      </c>
      <c r="B1138" s="5">
        <v>1</v>
      </c>
      <c r="C1138" s="5">
        <v>2026</v>
      </c>
      <c r="D1138" s="5">
        <v>1</v>
      </c>
      <c r="E1138" t="s">
        <v>25</v>
      </c>
      <c r="F1138" t="s">
        <v>10</v>
      </c>
      <c r="G1138" t="s">
        <v>74</v>
      </c>
      <c r="H1138" t="s">
        <v>81</v>
      </c>
      <c r="I1138" s="7">
        <v>6682.03</v>
      </c>
      <c r="J1138" s="7">
        <v>6440.53</v>
      </c>
    </row>
    <row r="1139" spans="1:10" x14ac:dyDescent="0.3">
      <c r="A1139" s="3">
        <v>46049</v>
      </c>
      <c r="B1139" s="5">
        <v>1</v>
      </c>
      <c r="C1139" s="5">
        <v>2026</v>
      </c>
      <c r="D1139" s="5">
        <v>1</v>
      </c>
      <c r="E1139" t="s">
        <v>28</v>
      </c>
      <c r="F1139" t="s">
        <v>17</v>
      </c>
      <c r="G1139" t="s">
        <v>57</v>
      </c>
      <c r="H1139" t="s">
        <v>67</v>
      </c>
      <c r="I1139" s="7">
        <v>-8564.99</v>
      </c>
    </row>
    <row r="1140" spans="1:10" x14ac:dyDescent="0.3">
      <c r="A1140" s="3">
        <v>46049</v>
      </c>
      <c r="B1140" s="5">
        <v>1</v>
      </c>
      <c r="C1140" s="5">
        <v>2026</v>
      </c>
      <c r="D1140" s="5">
        <v>1</v>
      </c>
      <c r="E1140" t="s">
        <v>37</v>
      </c>
      <c r="F1140" t="s">
        <v>10</v>
      </c>
      <c r="G1140" t="s">
        <v>57</v>
      </c>
      <c r="H1140" t="s">
        <v>72</v>
      </c>
      <c r="I1140" s="7">
        <v>6304.74</v>
      </c>
      <c r="J1140" s="7">
        <v>5952.4</v>
      </c>
    </row>
    <row r="1141" spans="1:10" x14ac:dyDescent="0.3">
      <c r="A1141" s="3">
        <v>46049</v>
      </c>
      <c r="B1141" s="5">
        <v>1</v>
      </c>
      <c r="C1141" s="5">
        <v>2026</v>
      </c>
      <c r="D1141" s="5">
        <v>1</v>
      </c>
      <c r="E1141" t="s">
        <v>22</v>
      </c>
      <c r="F1141" t="s">
        <v>17</v>
      </c>
      <c r="G1141" t="s">
        <v>74</v>
      </c>
      <c r="H1141" t="s">
        <v>80</v>
      </c>
      <c r="I1141" s="7">
        <v>-13134.53</v>
      </c>
    </row>
    <row r="1142" spans="1:10" x14ac:dyDescent="0.3">
      <c r="A1142" s="3">
        <v>46050</v>
      </c>
      <c r="B1142" s="5">
        <v>1</v>
      </c>
      <c r="C1142" s="5">
        <v>2026</v>
      </c>
      <c r="D1142" s="5">
        <v>1</v>
      </c>
      <c r="E1142" t="s">
        <v>28</v>
      </c>
      <c r="F1142" t="s">
        <v>17</v>
      </c>
      <c r="G1142" t="s">
        <v>15</v>
      </c>
      <c r="H1142" t="s">
        <v>30</v>
      </c>
      <c r="I1142" s="7">
        <v>-5664.55</v>
      </c>
    </row>
    <row r="1143" spans="1:10" x14ac:dyDescent="0.3">
      <c r="A1143" s="3">
        <v>46051</v>
      </c>
      <c r="B1143" s="5">
        <v>1</v>
      </c>
      <c r="C1143" s="5">
        <v>2026</v>
      </c>
      <c r="D1143" s="5">
        <v>1</v>
      </c>
      <c r="E1143" t="s">
        <v>28</v>
      </c>
      <c r="F1143" t="s">
        <v>10</v>
      </c>
      <c r="G1143" t="s">
        <v>40</v>
      </c>
      <c r="H1143" t="s">
        <v>49</v>
      </c>
      <c r="I1143" s="7">
        <v>13683.99</v>
      </c>
      <c r="J1143" s="7">
        <v>13109.86</v>
      </c>
    </row>
    <row r="1144" spans="1:10" x14ac:dyDescent="0.3">
      <c r="A1144" s="3">
        <v>46051</v>
      </c>
      <c r="B1144" s="5">
        <v>1</v>
      </c>
      <c r="C1144" s="5">
        <v>2026</v>
      </c>
      <c r="D1144" s="5">
        <v>1</v>
      </c>
      <c r="E1144" t="s">
        <v>31</v>
      </c>
      <c r="F1144" t="s">
        <v>10</v>
      </c>
      <c r="G1144" t="s">
        <v>40</v>
      </c>
      <c r="H1144" t="s">
        <v>51</v>
      </c>
      <c r="I1144" s="7">
        <v>4941.8599999999997</v>
      </c>
      <c r="J1144" s="7">
        <v>4652.71</v>
      </c>
    </row>
    <row r="1145" spans="1:10" x14ac:dyDescent="0.3">
      <c r="A1145" s="3">
        <v>46051</v>
      </c>
      <c r="B1145" s="5">
        <v>1</v>
      </c>
      <c r="C1145" s="5">
        <v>2026</v>
      </c>
      <c r="D1145" s="5">
        <v>1</v>
      </c>
      <c r="E1145" t="s">
        <v>34</v>
      </c>
      <c r="F1145" t="s">
        <v>17</v>
      </c>
      <c r="G1145" t="s">
        <v>57</v>
      </c>
      <c r="H1145" t="s">
        <v>71</v>
      </c>
      <c r="I1145" s="7">
        <v>-7921.47</v>
      </c>
    </row>
    <row r="1146" spans="1:10" x14ac:dyDescent="0.3">
      <c r="A1146" s="3">
        <v>46051</v>
      </c>
      <c r="B1146" s="5">
        <v>1</v>
      </c>
      <c r="C1146" s="5">
        <v>2026</v>
      </c>
      <c r="D1146" s="5">
        <v>1</v>
      </c>
      <c r="E1146" t="s">
        <v>22</v>
      </c>
      <c r="F1146" t="s">
        <v>10</v>
      </c>
      <c r="G1146" t="s">
        <v>74</v>
      </c>
      <c r="H1146" t="s">
        <v>79</v>
      </c>
      <c r="I1146" s="7">
        <v>25952.71</v>
      </c>
      <c r="J1146" s="7">
        <v>24358.48</v>
      </c>
    </row>
    <row r="1147" spans="1:10" x14ac:dyDescent="0.3">
      <c r="A1147" s="3">
        <v>46052</v>
      </c>
      <c r="B1147" s="5">
        <v>1</v>
      </c>
      <c r="C1147" s="5">
        <v>2026</v>
      </c>
      <c r="D1147" s="5">
        <v>1</v>
      </c>
      <c r="E1147" t="s">
        <v>37</v>
      </c>
      <c r="F1147" t="s">
        <v>10</v>
      </c>
      <c r="G1147" t="s">
        <v>15</v>
      </c>
      <c r="H1147" t="s">
        <v>38</v>
      </c>
      <c r="I1147" s="7">
        <v>6167.69</v>
      </c>
      <c r="J1147" s="7">
        <v>6725.62</v>
      </c>
    </row>
    <row r="1148" spans="1:10" x14ac:dyDescent="0.3">
      <c r="A1148" s="3">
        <v>46052</v>
      </c>
      <c r="B1148" s="5">
        <v>1</v>
      </c>
      <c r="C1148" s="5">
        <v>2026</v>
      </c>
      <c r="D1148" s="5">
        <v>1</v>
      </c>
      <c r="E1148" t="s">
        <v>22</v>
      </c>
      <c r="F1148" t="s">
        <v>10</v>
      </c>
      <c r="G1148" t="s">
        <v>40</v>
      </c>
      <c r="H1148" t="s">
        <v>45</v>
      </c>
      <c r="I1148" s="7">
        <v>28200.799999999999</v>
      </c>
      <c r="J1148" s="7">
        <v>26914.81</v>
      </c>
    </row>
    <row r="1149" spans="1:10" x14ac:dyDescent="0.3">
      <c r="A1149" s="3">
        <v>46052</v>
      </c>
      <c r="B1149" s="5">
        <v>1</v>
      </c>
      <c r="C1149" s="5">
        <v>2026</v>
      </c>
      <c r="D1149" s="5">
        <v>1</v>
      </c>
      <c r="E1149" t="s">
        <v>25</v>
      </c>
      <c r="F1149" t="s">
        <v>10</v>
      </c>
      <c r="G1149" t="s">
        <v>40</v>
      </c>
      <c r="H1149" t="s">
        <v>47</v>
      </c>
      <c r="I1149" s="7">
        <v>6895.22</v>
      </c>
      <c r="J1149" s="7">
        <v>6692.26</v>
      </c>
    </row>
    <row r="1150" spans="1:10" x14ac:dyDescent="0.3">
      <c r="A1150" s="3">
        <v>46052</v>
      </c>
      <c r="B1150" s="5">
        <v>1</v>
      </c>
      <c r="C1150" s="5">
        <v>2026</v>
      </c>
      <c r="D1150" s="5">
        <v>1</v>
      </c>
      <c r="E1150" t="s">
        <v>37</v>
      </c>
      <c r="F1150" t="s">
        <v>17</v>
      </c>
      <c r="G1150" t="s">
        <v>40</v>
      </c>
      <c r="H1150" t="s">
        <v>56</v>
      </c>
      <c r="I1150" s="7">
        <v>-6564.72</v>
      </c>
    </row>
    <row r="1151" spans="1:10" x14ac:dyDescent="0.3">
      <c r="A1151" s="3">
        <v>46052</v>
      </c>
      <c r="B1151" s="5">
        <v>1</v>
      </c>
      <c r="C1151" s="5">
        <v>2026</v>
      </c>
      <c r="D1151" s="5">
        <v>1</v>
      </c>
      <c r="E1151" t="s">
        <v>19</v>
      </c>
      <c r="F1151" t="s">
        <v>10</v>
      </c>
      <c r="G1151" t="s">
        <v>57</v>
      </c>
      <c r="H1151" t="s">
        <v>60</v>
      </c>
      <c r="I1151" s="7">
        <v>18355.25</v>
      </c>
      <c r="J1151" s="7">
        <v>18469.13</v>
      </c>
    </row>
    <row r="1152" spans="1:10" x14ac:dyDescent="0.3">
      <c r="A1152" s="3">
        <v>46053</v>
      </c>
      <c r="B1152" s="5">
        <v>1</v>
      </c>
      <c r="C1152" s="5">
        <v>2026</v>
      </c>
      <c r="D1152" s="5">
        <v>1</v>
      </c>
      <c r="E1152" t="s">
        <v>19</v>
      </c>
      <c r="F1152" t="s">
        <v>10</v>
      </c>
      <c r="G1152" t="s">
        <v>15</v>
      </c>
      <c r="H1152" t="s">
        <v>20</v>
      </c>
      <c r="I1152" s="7">
        <v>24837.87</v>
      </c>
      <c r="J1152" s="7">
        <v>25430.19</v>
      </c>
    </row>
    <row r="1153" spans="1:10" x14ac:dyDescent="0.3">
      <c r="A1153" s="3">
        <v>46053</v>
      </c>
      <c r="B1153" s="5">
        <v>1</v>
      </c>
      <c r="C1153" s="5">
        <v>2026</v>
      </c>
      <c r="D1153" s="5">
        <v>1</v>
      </c>
      <c r="E1153" t="s">
        <v>34</v>
      </c>
      <c r="F1153" t="s">
        <v>10</v>
      </c>
      <c r="G1153" t="s">
        <v>74</v>
      </c>
      <c r="H1153" t="s">
        <v>87</v>
      </c>
      <c r="I1153" s="7">
        <v>12226.53</v>
      </c>
      <c r="J1153" s="7">
        <v>12812.77</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3171A-D1BE-4F09-8CF7-EBDCA8FAB355}">
  <sheetPr codeName="Sheet3">
    <tabColor rgb="FF1E5A96"/>
  </sheetPr>
  <dimension ref="A1:Z100"/>
  <sheetViews>
    <sheetView showGridLines="0" tabSelected="1" workbookViewId="0">
      <selection activeCell="J3" sqref="J3"/>
    </sheetView>
  </sheetViews>
  <sheetFormatPr defaultRowHeight="14.4" x14ac:dyDescent="0.3"/>
  <cols>
    <col min="1" max="19" width="12.77734375" customWidth="1"/>
    <col min="20" max="21" width="12.77734375" hidden="1" customWidth="1"/>
    <col min="22" max="26" width="12.77734375" customWidth="1"/>
  </cols>
  <sheetData>
    <row r="1" spans="1:26" ht="36" customHeight="1" x14ac:dyDescent="0.3">
      <c r="A1" s="8"/>
      <c r="B1" s="8"/>
      <c r="C1" s="8"/>
      <c r="D1" s="8"/>
      <c r="E1" s="8"/>
      <c r="F1" s="8"/>
      <c r="G1" s="8"/>
      <c r="H1" s="8"/>
      <c r="I1" s="8"/>
      <c r="J1" s="8"/>
      <c r="K1" s="8"/>
      <c r="L1" s="8"/>
      <c r="M1" s="8"/>
      <c r="N1" s="8"/>
      <c r="O1" s="8"/>
      <c r="P1" s="8"/>
      <c r="Q1" s="8"/>
      <c r="R1" s="8"/>
      <c r="S1" s="8"/>
      <c r="T1" s="8"/>
      <c r="U1" s="8"/>
      <c r="V1" s="8"/>
      <c r="W1" s="8"/>
      <c r="X1" s="8"/>
      <c r="Y1" s="8"/>
      <c r="Z1" s="8"/>
    </row>
    <row r="2" spans="1:26" ht="29.4" x14ac:dyDescent="0.65">
      <c r="A2" s="8"/>
      <c r="B2" s="9" t="s">
        <v>11</v>
      </c>
      <c r="C2" s="8"/>
      <c r="D2" s="8"/>
      <c r="E2" s="8"/>
      <c r="F2" s="8"/>
      <c r="G2" s="8"/>
      <c r="H2" s="8"/>
      <c r="I2" s="8"/>
      <c r="J2" s="8"/>
      <c r="K2" s="8"/>
      <c r="L2" s="8"/>
      <c r="M2" s="8"/>
      <c r="N2" s="8"/>
      <c r="O2" s="8"/>
      <c r="P2" s="8"/>
      <c r="Q2" s="13" t="s">
        <v>98</v>
      </c>
      <c r="U2" s="16">
        <f>SUMIFS(tblFinance[Amount],tblFinance[Type],"Revenue")</f>
        <v>9062067.6699999925</v>
      </c>
      <c r="V2" s="8"/>
      <c r="W2" s="8"/>
      <c r="X2" s="8"/>
      <c r="Y2" s="8"/>
      <c r="Z2" s="8"/>
    </row>
    <row r="3" spans="1:26" ht="15" x14ac:dyDescent="0.35">
      <c r="A3" s="8"/>
      <c r="B3" s="10" t="s">
        <v>96</v>
      </c>
      <c r="C3" s="8"/>
      <c r="D3" s="8"/>
      <c r="E3" s="8"/>
      <c r="F3" s="8"/>
      <c r="G3" s="8"/>
      <c r="H3" s="8"/>
      <c r="I3" s="8"/>
      <c r="J3" s="8"/>
      <c r="K3" s="8"/>
      <c r="L3" s="8"/>
      <c r="M3" s="8"/>
      <c r="N3" s="8"/>
      <c r="O3" s="8"/>
      <c r="P3" s="8"/>
      <c r="Q3" t="s">
        <v>99</v>
      </c>
      <c r="R3" s="5">
        <v>18</v>
      </c>
      <c r="U3" s="16">
        <f>-SUMIFS(tblFinance[Amount],tblFinance[Type],"Expense")</f>
        <v>7466883.7900000056</v>
      </c>
      <c r="V3" s="8"/>
      <c r="W3" s="8"/>
      <c r="X3" s="8"/>
      <c r="Y3" s="8"/>
      <c r="Z3" s="8"/>
    </row>
    <row r="4" spans="1:26" x14ac:dyDescent="0.3">
      <c r="A4" s="8"/>
      <c r="B4" s="8"/>
      <c r="C4" s="8"/>
      <c r="D4" s="8"/>
      <c r="E4" s="8"/>
      <c r="F4" s="8"/>
      <c r="G4" s="8"/>
      <c r="H4" s="8"/>
      <c r="I4" s="8"/>
      <c r="J4" s="8"/>
      <c r="K4" s="8"/>
      <c r="L4" s="8"/>
      <c r="M4" s="8"/>
      <c r="N4" s="8"/>
      <c r="O4" s="8"/>
      <c r="P4" s="8"/>
      <c r="Q4" t="s">
        <v>100</v>
      </c>
      <c r="R4" s="5">
        <v>42</v>
      </c>
      <c r="U4" s="16">
        <f>U2-U3</f>
        <v>1595183.8799999868</v>
      </c>
      <c r="V4" s="8"/>
      <c r="W4" s="8"/>
      <c r="X4" s="8"/>
      <c r="Y4" s="8"/>
      <c r="Z4" s="8"/>
    </row>
    <row r="5" spans="1:26" x14ac:dyDescent="0.3">
      <c r="A5" s="8"/>
      <c r="B5" s="8"/>
      <c r="C5" s="8"/>
      <c r="D5" s="8"/>
      <c r="E5" s="8"/>
      <c r="F5" s="8"/>
      <c r="G5" s="8"/>
      <c r="H5" s="8"/>
      <c r="I5" s="8"/>
      <c r="J5" s="8"/>
      <c r="K5" s="8"/>
      <c r="L5" s="8"/>
      <c r="M5" s="8"/>
      <c r="N5" s="8"/>
      <c r="O5" s="8"/>
      <c r="P5" s="8"/>
      <c r="Q5" t="s">
        <v>101</v>
      </c>
      <c r="R5" s="14">
        <v>3.0000000000000001E-3</v>
      </c>
      <c r="U5" s="17">
        <f>IFERROR(U4/U2,0)</f>
        <v>0.17602868772221253</v>
      </c>
      <c r="V5" s="8"/>
      <c r="W5" s="8"/>
      <c r="X5" s="8"/>
      <c r="Y5" s="8"/>
      <c r="Z5" s="8"/>
    </row>
    <row r="6" spans="1:26" x14ac:dyDescent="0.3">
      <c r="A6" s="8"/>
      <c r="B6" s="8"/>
      <c r="C6" s="8"/>
      <c r="D6" s="8"/>
      <c r="E6" s="8"/>
      <c r="F6" s="8"/>
      <c r="G6" s="8"/>
      <c r="H6" s="8"/>
      <c r="I6" s="8"/>
      <c r="J6" s="8"/>
      <c r="K6" s="8"/>
      <c r="L6" s="8"/>
      <c r="M6" s="8"/>
      <c r="N6" s="8"/>
      <c r="O6" s="8"/>
      <c r="P6" s="8"/>
      <c r="Q6" t="s">
        <v>102</v>
      </c>
      <c r="R6" s="14">
        <v>0.12</v>
      </c>
      <c r="U6" s="8"/>
      <c r="V6" s="8"/>
      <c r="W6" s="8"/>
      <c r="X6" s="8"/>
      <c r="Y6" s="8"/>
      <c r="Z6" s="8"/>
    </row>
    <row r="7" spans="1:26" x14ac:dyDescent="0.3">
      <c r="A7" s="8"/>
      <c r="B7" s="8"/>
      <c r="C7" s="8"/>
      <c r="D7" s="8"/>
      <c r="E7" s="8"/>
      <c r="F7" s="8"/>
      <c r="G7" s="8"/>
      <c r="H7" s="8"/>
      <c r="I7" s="8"/>
      <c r="J7" s="8"/>
      <c r="K7" s="8"/>
      <c r="L7" s="8"/>
      <c r="M7" s="8"/>
      <c r="N7" s="8"/>
      <c r="O7" s="8"/>
      <c r="P7" s="8"/>
      <c r="Q7" t="s">
        <v>103</v>
      </c>
      <c r="R7" s="14">
        <v>0.3</v>
      </c>
      <c r="U7" s="8"/>
      <c r="V7" s="8"/>
      <c r="W7" s="8"/>
      <c r="X7" s="8"/>
      <c r="Y7" s="8"/>
      <c r="Z7" s="8"/>
    </row>
    <row r="8" spans="1:26" x14ac:dyDescent="0.3">
      <c r="A8" s="8"/>
      <c r="B8" s="8"/>
      <c r="C8" s="8"/>
      <c r="D8" s="8"/>
      <c r="E8" s="8"/>
      <c r="F8" s="8"/>
      <c r="G8" s="8"/>
      <c r="H8" s="8"/>
      <c r="I8" s="8"/>
      <c r="J8" s="8"/>
      <c r="K8" s="8"/>
      <c r="L8" s="8"/>
      <c r="M8" s="8"/>
      <c r="N8" s="8"/>
      <c r="O8" s="8"/>
      <c r="P8" s="8"/>
      <c r="Q8" t="s">
        <v>104</v>
      </c>
      <c r="R8" s="15">
        <v>0.8</v>
      </c>
      <c r="U8" s="8"/>
      <c r="V8" s="8"/>
      <c r="W8" s="8"/>
      <c r="X8" s="8"/>
      <c r="Y8" s="8"/>
      <c r="Z8" s="8"/>
    </row>
    <row r="9" spans="1:26" x14ac:dyDescent="0.3">
      <c r="A9" s="8"/>
      <c r="B9" s="8"/>
      <c r="C9" s="8"/>
      <c r="D9" s="8"/>
      <c r="E9" s="8"/>
      <c r="F9" s="8"/>
      <c r="G9" s="8"/>
      <c r="H9" s="8"/>
      <c r="I9" s="8"/>
      <c r="J9" s="8"/>
      <c r="K9" s="8"/>
      <c r="L9" s="8"/>
      <c r="M9" s="8"/>
      <c r="N9" s="8"/>
      <c r="O9" s="8"/>
      <c r="P9" s="8"/>
      <c r="U9" s="8"/>
      <c r="V9" s="8"/>
      <c r="W9" s="8"/>
      <c r="X9" s="8"/>
      <c r="Y9" s="8"/>
      <c r="Z9" s="8"/>
    </row>
    <row r="10" spans="1:26" x14ac:dyDescent="0.3">
      <c r="A10" s="8"/>
      <c r="B10" s="8"/>
      <c r="C10" s="8"/>
      <c r="D10" s="8"/>
      <c r="E10" s="8"/>
      <c r="F10" s="8"/>
      <c r="G10" s="8"/>
      <c r="H10" s="8"/>
      <c r="I10" s="8"/>
      <c r="J10" s="8"/>
      <c r="K10" s="8"/>
      <c r="L10" s="8"/>
      <c r="M10" s="8"/>
      <c r="N10" s="8"/>
      <c r="O10" s="8"/>
      <c r="P10" s="8"/>
      <c r="U10" s="8"/>
      <c r="V10" s="8"/>
      <c r="W10" s="8"/>
      <c r="X10" s="8"/>
      <c r="Y10" s="8"/>
      <c r="Z10" s="8"/>
    </row>
    <row r="11" spans="1:26" x14ac:dyDescent="0.3">
      <c r="A11" s="8"/>
      <c r="B11" s="12" t="s">
        <v>97</v>
      </c>
      <c r="C11" s="8"/>
      <c r="D11" s="8"/>
      <c r="E11" s="8"/>
      <c r="F11" s="8"/>
      <c r="G11" s="8"/>
      <c r="H11" s="8"/>
      <c r="I11" s="8"/>
      <c r="J11" s="8"/>
      <c r="K11" s="8"/>
      <c r="L11" s="8"/>
      <c r="M11" s="8"/>
      <c r="N11" s="8"/>
      <c r="O11" s="8"/>
      <c r="P11" s="8"/>
      <c r="U11" s="8"/>
      <c r="V11" s="8"/>
      <c r="W11" s="8"/>
      <c r="X11" s="8"/>
      <c r="Y11" s="8"/>
      <c r="Z11" s="8"/>
    </row>
    <row r="12" spans="1:26" x14ac:dyDescent="0.3">
      <c r="A12" s="8"/>
      <c r="B12" s="8"/>
      <c r="C12" s="8"/>
      <c r="D12" s="8"/>
      <c r="E12" s="8"/>
      <c r="F12" s="8"/>
      <c r="G12" s="8"/>
      <c r="H12" s="8"/>
      <c r="I12" s="8"/>
      <c r="J12" s="8"/>
      <c r="K12" s="8"/>
      <c r="L12" s="8"/>
      <c r="M12" s="8"/>
      <c r="N12" s="8"/>
      <c r="O12" s="8"/>
      <c r="P12" s="8"/>
      <c r="U12" s="8"/>
      <c r="V12" s="8"/>
      <c r="W12" s="8"/>
      <c r="X12" s="8"/>
      <c r="Y12" s="8"/>
      <c r="Z12" s="8"/>
    </row>
    <row r="13" spans="1:26" x14ac:dyDescent="0.3">
      <c r="A13" s="8"/>
      <c r="B13" s="8"/>
      <c r="C13" s="8"/>
      <c r="D13" s="8"/>
      <c r="E13" s="8"/>
      <c r="F13" s="8"/>
      <c r="G13" s="8"/>
      <c r="H13" s="8"/>
      <c r="I13" s="8"/>
      <c r="J13" s="8"/>
      <c r="K13" s="8"/>
      <c r="L13" s="8"/>
      <c r="M13" s="8"/>
      <c r="N13" s="8"/>
      <c r="O13" s="8"/>
      <c r="P13" s="8"/>
      <c r="U13" s="8"/>
      <c r="V13" s="8"/>
      <c r="W13" s="8"/>
      <c r="X13" s="8"/>
      <c r="Y13" s="8"/>
      <c r="Z13" s="8"/>
    </row>
    <row r="14" spans="1:26" x14ac:dyDescent="0.3">
      <c r="A14" s="8"/>
      <c r="B14" s="8"/>
      <c r="C14" s="8"/>
      <c r="D14" s="8"/>
      <c r="E14" s="8"/>
      <c r="F14" s="8"/>
      <c r="G14" s="8"/>
      <c r="H14" s="8"/>
      <c r="I14" s="8"/>
      <c r="J14" s="8"/>
      <c r="K14" s="8"/>
      <c r="L14" s="8"/>
      <c r="M14" s="8"/>
      <c r="N14" s="8"/>
      <c r="O14" s="8"/>
      <c r="P14" s="8"/>
      <c r="U14" s="8"/>
      <c r="V14" s="8"/>
      <c r="W14" s="8"/>
      <c r="X14" s="8"/>
      <c r="Y14" s="8"/>
      <c r="Z14" s="8"/>
    </row>
    <row r="15" spans="1:26" x14ac:dyDescent="0.3">
      <c r="A15" s="8"/>
      <c r="B15" s="8"/>
      <c r="C15" s="8"/>
      <c r="D15" s="8"/>
      <c r="E15" s="8"/>
      <c r="F15" s="8"/>
      <c r="G15" s="8"/>
      <c r="H15" s="8"/>
      <c r="I15" s="8"/>
      <c r="J15" s="8"/>
      <c r="K15" s="8"/>
      <c r="L15" s="8"/>
      <c r="M15" s="8"/>
      <c r="N15" s="8"/>
      <c r="O15" s="8"/>
      <c r="P15" s="8"/>
      <c r="Q15" s="8"/>
      <c r="R15" s="8"/>
      <c r="S15" s="8"/>
      <c r="T15" s="8"/>
      <c r="U15" s="8"/>
      <c r="V15" s="8"/>
      <c r="W15" s="8"/>
      <c r="X15" s="8"/>
      <c r="Y15" s="8"/>
      <c r="Z15" s="8"/>
    </row>
    <row r="16" spans="1:26" x14ac:dyDescent="0.3">
      <c r="A16" s="8"/>
      <c r="B16" s="8"/>
      <c r="C16" s="8"/>
      <c r="D16" s="8"/>
      <c r="E16" s="8"/>
      <c r="F16" s="8"/>
      <c r="G16" s="8"/>
      <c r="H16" s="8"/>
      <c r="I16" s="8"/>
      <c r="J16" s="8"/>
      <c r="K16" s="8"/>
      <c r="L16" s="8"/>
      <c r="M16" s="8"/>
      <c r="N16" s="8"/>
      <c r="O16" s="8"/>
      <c r="P16" s="8"/>
      <c r="Q16" s="8"/>
      <c r="R16" s="8"/>
      <c r="S16" s="8"/>
      <c r="T16" s="8"/>
      <c r="U16" s="8"/>
      <c r="V16" s="8"/>
      <c r="W16" s="8"/>
      <c r="X16" s="8"/>
      <c r="Y16" s="8"/>
      <c r="Z16" s="8"/>
    </row>
    <row r="17" spans="1:26" x14ac:dyDescent="0.3">
      <c r="A17" s="8"/>
      <c r="B17" s="8"/>
      <c r="C17" s="8"/>
      <c r="D17" s="8"/>
      <c r="E17" s="8"/>
      <c r="F17" s="8"/>
      <c r="G17" s="8"/>
      <c r="H17" s="8"/>
      <c r="I17" s="8"/>
      <c r="J17" s="8"/>
      <c r="K17" s="8"/>
      <c r="L17" s="8"/>
      <c r="M17" s="8"/>
      <c r="N17" s="8"/>
      <c r="O17" s="8"/>
      <c r="P17" s="8"/>
      <c r="Q17" s="8"/>
      <c r="R17" s="8"/>
      <c r="S17" s="8"/>
      <c r="T17" s="8"/>
      <c r="U17" s="8"/>
      <c r="V17" s="8"/>
      <c r="W17" s="8"/>
      <c r="X17" s="8"/>
      <c r="Y17" s="8"/>
      <c r="Z17" s="8"/>
    </row>
    <row r="18" spans="1:26" x14ac:dyDescent="0.3">
      <c r="A18" s="8"/>
      <c r="B18" s="8"/>
      <c r="C18" s="8"/>
      <c r="D18" s="8"/>
      <c r="E18" s="8"/>
      <c r="F18" s="8"/>
      <c r="G18" s="8"/>
      <c r="H18" s="8"/>
      <c r="I18" s="8"/>
      <c r="J18" s="8"/>
      <c r="K18" s="8"/>
      <c r="L18" s="8"/>
      <c r="M18" s="8"/>
      <c r="N18" s="8"/>
      <c r="O18" s="8"/>
      <c r="P18" s="8"/>
      <c r="Q18" s="8"/>
      <c r="R18" s="8"/>
      <c r="S18" s="8"/>
      <c r="T18" s="8"/>
      <c r="U18" s="8"/>
      <c r="V18" s="8"/>
      <c r="W18" s="8"/>
      <c r="X18" s="8"/>
      <c r="Y18" s="8"/>
      <c r="Z18" s="8"/>
    </row>
    <row r="19" spans="1:26" x14ac:dyDescent="0.3">
      <c r="A19" s="8"/>
      <c r="B19" s="8"/>
      <c r="C19" s="8"/>
      <c r="D19" s="8"/>
      <c r="E19" s="8"/>
      <c r="F19" s="8"/>
      <c r="G19" s="8"/>
      <c r="H19" s="8"/>
      <c r="I19" s="8"/>
      <c r="J19" s="8"/>
      <c r="K19" s="8"/>
      <c r="L19" s="8"/>
      <c r="M19" s="8"/>
      <c r="N19" s="8"/>
      <c r="O19" s="8"/>
      <c r="P19" s="8"/>
      <c r="Q19" s="8"/>
      <c r="R19" s="8"/>
      <c r="S19" s="8"/>
      <c r="T19" s="8"/>
      <c r="U19" s="8"/>
      <c r="V19" s="8"/>
      <c r="W19" s="8"/>
      <c r="X19" s="8"/>
      <c r="Y19" s="8"/>
      <c r="Z19" s="8"/>
    </row>
    <row r="20" spans="1:26" x14ac:dyDescent="0.3">
      <c r="A20" s="8"/>
      <c r="B20" s="8"/>
      <c r="C20" s="8"/>
      <c r="D20" s="8"/>
      <c r="E20" s="8"/>
      <c r="F20" s="8"/>
      <c r="G20" s="8"/>
      <c r="H20" s="8"/>
      <c r="I20" s="8"/>
      <c r="J20" s="8"/>
      <c r="K20" s="8"/>
      <c r="L20" s="8"/>
      <c r="M20" s="8"/>
      <c r="N20" s="8"/>
      <c r="O20" s="8"/>
      <c r="P20" s="8"/>
      <c r="Q20" s="8"/>
      <c r="R20" s="8"/>
      <c r="S20" s="8"/>
      <c r="T20" s="8"/>
      <c r="U20" s="8"/>
      <c r="V20" s="8"/>
      <c r="W20" s="8"/>
      <c r="X20" s="8"/>
      <c r="Y20" s="8"/>
      <c r="Z20" s="8"/>
    </row>
    <row r="21" spans="1:26" x14ac:dyDescent="0.3">
      <c r="A21" s="8"/>
      <c r="B21" s="8"/>
      <c r="C21" s="8"/>
      <c r="D21" s="8"/>
      <c r="E21" s="8"/>
      <c r="F21" s="8"/>
      <c r="G21" s="8"/>
      <c r="H21" s="8"/>
      <c r="I21" s="8"/>
      <c r="J21" s="8"/>
      <c r="K21" s="8"/>
      <c r="L21" s="8"/>
      <c r="M21" s="8"/>
      <c r="N21" s="8"/>
      <c r="O21" s="8"/>
      <c r="P21" s="8"/>
      <c r="Q21" s="8"/>
      <c r="R21" s="8"/>
      <c r="S21" s="8"/>
      <c r="T21" s="8"/>
      <c r="U21" s="8"/>
      <c r="V21" s="8"/>
      <c r="W21" s="8"/>
      <c r="X21" s="8"/>
      <c r="Y21" s="8"/>
      <c r="Z21" s="8"/>
    </row>
    <row r="22" spans="1:26" x14ac:dyDescent="0.3">
      <c r="A22" s="8"/>
      <c r="B22" s="8"/>
      <c r="C22" s="8"/>
      <c r="D22" s="8"/>
      <c r="E22" s="8"/>
      <c r="F22" s="8"/>
      <c r="G22" s="8"/>
      <c r="H22" s="8"/>
      <c r="I22" s="8"/>
      <c r="J22" s="8"/>
      <c r="K22" s="8"/>
      <c r="L22" s="8"/>
      <c r="M22" s="8"/>
      <c r="N22" s="8"/>
      <c r="O22" s="8"/>
      <c r="P22" s="8"/>
      <c r="Q22" s="8"/>
      <c r="R22" s="8"/>
      <c r="S22" s="8"/>
      <c r="T22" s="8"/>
      <c r="U22" s="8"/>
      <c r="V22" s="8"/>
      <c r="W22" s="8"/>
      <c r="X22" s="8"/>
      <c r="Y22" s="8"/>
      <c r="Z22" s="8"/>
    </row>
    <row r="23" spans="1:26" x14ac:dyDescent="0.3">
      <c r="A23" s="8"/>
      <c r="B23" s="8"/>
      <c r="C23" s="8"/>
      <c r="D23" s="8"/>
      <c r="E23" s="8"/>
      <c r="F23" s="8"/>
      <c r="G23" s="8"/>
      <c r="H23" s="8"/>
      <c r="I23" s="8"/>
      <c r="J23" s="8"/>
      <c r="K23" s="8"/>
      <c r="L23" s="8"/>
      <c r="M23" s="8"/>
      <c r="N23" s="8"/>
      <c r="O23" s="8"/>
      <c r="P23" s="8"/>
      <c r="Q23" s="8"/>
      <c r="R23" s="8"/>
      <c r="S23" s="8"/>
      <c r="T23" s="8"/>
      <c r="U23" s="8"/>
      <c r="V23" s="8"/>
      <c r="W23" s="8"/>
      <c r="X23" s="8"/>
      <c r="Y23" s="8"/>
      <c r="Z23" s="8"/>
    </row>
    <row r="24" spans="1:26" x14ac:dyDescent="0.3">
      <c r="A24" s="8"/>
      <c r="B24" s="8"/>
      <c r="C24" s="8"/>
      <c r="D24" s="8"/>
      <c r="E24" s="8"/>
      <c r="F24" s="8"/>
      <c r="G24" s="8"/>
      <c r="H24" s="8"/>
      <c r="I24" s="8"/>
      <c r="J24" s="8"/>
      <c r="K24" s="8"/>
      <c r="L24" s="8"/>
      <c r="M24" s="8"/>
      <c r="N24" s="8"/>
      <c r="O24" s="8"/>
      <c r="P24" s="8"/>
      <c r="Q24" s="8"/>
      <c r="R24" s="8"/>
      <c r="S24" s="8"/>
      <c r="T24" s="8"/>
      <c r="U24" s="8"/>
      <c r="V24" s="8"/>
      <c r="W24" s="8"/>
      <c r="X24" s="8"/>
      <c r="Y24" s="8"/>
      <c r="Z24" s="8"/>
    </row>
    <row r="25" spans="1:26" x14ac:dyDescent="0.3">
      <c r="A25" s="8"/>
      <c r="B25" s="8"/>
      <c r="C25" s="8"/>
      <c r="D25" s="8"/>
      <c r="E25" s="8"/>
      <c r="F25" s="8"/>
      <c r="G25" s="8"/>
      <c r="H25" s="8"/>
      <c r="I25" s="8"/>
      <c r="J25" s="8"/>
      <c r="K25" s="8"/>
      <c r="L25" s="8"/>
      <c r="M25" s="8"/>
      <c r="N25" s="8"/>
      <c r="O25" s="8"/>
      <c r="P25" s="8"/>
      <c r="Q25" s="8"/>
      <c r="R25" s="8"/>
      <c r="S25" s="8"/>
      <c r="T25" s="8"/>
      <c r="U25" s="8"/>
      <c r="V25" s="8"/>
      <c r="W25" s="8"/>
      <c r="X25" s="8"/>
      <c r="Y25" s="8"/>
      <c r="Z25" s="8"/>
    </row>
    <row r="26" spans="1:26" x14ac:dyDescent="0.3">
      <c r="A26" s="8"/>
      <c r="B26" s="8"/>
      <c r="C26" s="8"/>
      <c r="D26" s="8"/>
      <c r="E26" s="8"/>
      <c r="F26" s="8"/>
      <c r="G26" s="8"/>
      <c r="H26" s="8"/>
      <c r="I26" s="8"/>
      <c r="J26" s="8"/>
      <c r="K26" s="8"/>
      <c r="L26" s="8"/>
      <c r="M26" s="8"/>
      <c r="N26" s="8"/>
      <c r="O26" s="8"/>
      <c r="P26" s="8"/>
      <c r="Q26" s="8"/>
      <c r="R26" s="8"/>
      <c r="S26" s="8"/>
      <c r="T26" s="8"/>
      <c r="U26" s="8"/>
      <c r="V26" s="8"/>
      <c r="W26" s="8"/>
      <c r="X26" s="8"/>
      <c r="Y26" s="8"/>
      <c r="Z26" s="8"/>
    </row>
    <row r="27" spans="1:26" x14ac:dyDescent="0.3">
      <c r="A27" s="8"/>
      <c r="B27" s="8"/>
      <c r="C27" s="8"/>
      <c r="D27" s="8"/>
      <c r="E27" s="8"/>
      <c r="F27" s="8"/>
      <c r="G27" s="8"/>
      <c r="H27" s="8"/>
      <c r="I27" s="8"/>
      <c r="J27" s="8"/>
      <c r="K27" s="8"/>
      <c r="L27" s="8"/>
      <c r="M27" s="8"/>
      <c r="N27" s="8"/>
      <c r="O27" s="8"/>
      <c r="P27" s="8"/>
      <c r="Q27" s="8"/>
      <c r="R27" s="8"/>
      <c r="S27" s="8"/>
      <c r="T27" s="8"/>
      <c r="U27" s="8"/>
      <c r="V27" s="8"/>
      <c r="W27" s="8"/>
      <c r="X27" s="8"/>
      <c r="Y27" s="8"/>
      <c r="Z27" s="8"/>
    </row>
    <row r="28" spans="1:26" x14ac:dyDescent="0.3">
      <c r="A28" s="8"/>
      <c r="B28" s="8"/>
      <c r="C28" s="8"/>
      <c r="D28" s="8"/>
      <c r="E28" s="8"/>
      <c r="F28" s="8"/>
      <c r="G28" s="8"/>
      <c r="H28" s="8"/>
      <c r="I28" s="8"/>
      <c r="J28" s="8"/>
      <c r="K28" s="8"/>
      <c r="L28" s="8"/>
      <c r="M28" s="8"/>
      <c r="N28" s="8"/>
      <c r="O28" s="8"/>
      <c r="P28" s="8"/>
      <c r="Q28" s="8"/>
      <c r="R28" s="8"/>
      <c r="S28" s="8"/>
      <c r="T28" s="8"/>
      <c r="U28" s="8"/>
      <c r="V28" s="8"/>
      <c r="W28" s="8"/>
      <c r="X28" s="8"/>
      <c r="Y28" s="8"/>
      <c r="Z28" s="8"/>
    </row>
    <row r="29" spans="1:26" x14ac:dyDescent="0.3">
      <c r="A29" s="8"/>
      <c r="B29" s="8"/>
      <c r="C29" s="8"/>
      <c r="D29" s="8"/>
      <c r="E29" s="8"/>
      <c r="F29" s="8"/>
      <c r="G29" s="8"/>
      <c r="H29" s="8"/>
      <c r="I29" s="8"/>
      <c r="J29" s="8"/>
      <c r="K29" s="8"/>
      <c r="L29" s="8"/>
      <c r="M29" s="8"/>
      <c r="N29" s="8"/>
      <c r="O29" s="8"/>
      <c r="P29" s="8"/>
      <c r="Q29" s="8"/>
      <c r="R29" s="8"/>
      <c r="S29" s="8"/>
      <c r="T29" s="8"/>
      <c r="U29" s="8"/>
      <c r="V29" s="8"/>
      <c r="W29" s="8"/>
      <c r="X29" s="8"/>
      <c r="Y29" s="8"/>
      <c r="Z29" s="8"/>
    </row>
    <row r="30" spans="1:26" x14ac:dyDescent="0.3">
      <c r="A30" s="8"/>
      <c r="B30" s="8"/>
      <c r="C30" s="8"/>
      <c r="D30" s="8"/>
      <c r="E30" s="8"/>
      <c r="F30" s="8"/>
      <c r="G30" s="8"/>
      <c r="H30" s="8"/>
      <c r="I30" s="8"/>
      <c r="J30" s="8"/>
      <c r="K30" s="8"/>
      <c r="L30" s="8"/>
      <c r="M30" s="8"/>
      <c r="N30" s="8"/>
      <c r="O30" s="8"/>
      <c r="P30" s="8"/>
      <c r="Q30" s="8"/>
      <c r="R30" s="8"/>
      <c r="S30" s="8"/>
      <c r="T30" s="8"/>
      <c r="U30" s="8"/>
      <c r="V30" s="8"/>
      <c r="W30" s="8"/>
      <c r="X30" s="8"/>
      <c r="Y30" s="8"/>
      <c r="Z30" s="8"/>
    </row>
    <row r="31" spans="1:26" x14ac:dyDescent="0.3">
      <c r="A31" s="8"/>
      <c r="B31" s="8"/>
      <c r="C31" s="8"/>
      <c r="D31" s="8"/>
      <c r="E31" s="8"/>
      <c r="F31" s="8"/>
      <c r="G31" s="8"/>
      <c r="H31" s="8"/>
      <c r="I31" s="8"/>
      <c r="J31" s="8"/>
      <c r="K31" s="8"/>
      <c r="L31" s="8"/>
      <c r="M31" s="8"/>
      <c r="N31" s="8"/>
      <c r="O31" s="8"/>
      <c r="P31" s="8"/>
      <c r="Q31" s="8"/>
      <c r="R31" s="8"/>
      <c r="S31" s="8"/>
      <c r="T31" s="8"/>
      <c r="U31" s="8"/>
      <c r="V31" s="8"/>
      <c r="W31" s="8"/>
      <c r="X31" s="8"/>
      <c r="Y31" s="8"/>
      <c r="Z31" s="8"/>
    </row>
    <row r="32" spans="1:26" x14ac:dyDescent="0.3">
      <c r="A32" s="8"/>
      <c r="B32" s="8"/>
      <c r="C32" s="8"/>
      <c r="D32" s="8"/>
      <c r="E32" s="8"/>
      <c r="F32" s="8"/>
      <c r="G32" s="8"/>
      <c r="H32" s="8"/>
      <c r="I32" s="8"/>
      <c r="J32" s="8"/>
      <c r="K32" s="8"/>
      <c r="L32" s="8"/>
      <c r="M32" s="8"/>
      <c r="N32" s="8"/>
      <c r="O32" s="8"/>
      <c r="P32" s="8"/>
      <c r="Q32" s="8"/>
      <c r="R32" s="8"/>
      <c r="S32" s="8"/>
      <c r="T32" s="8"/>
      <c r="U32" s="8"/>
      <c r="V32" s="8"/>
      <c r="W32" s="8"/>
      <c r="X32" s="8"/>
      <c r="Y32" s="8"/>
      <c r="Z32" s="8"/>
    </row>
    <row r="33" spans="1:26" x14ac:dyDescent="0.3">
      <c r="A33" s="8"/>
      <c r="B33" s="8"/>
      <c r="C33" s="8"/>
      <c r="D33" s="8"/>
      <c r="E33" s="8"/>
      <c r="F33" s="8"/>
      <c r="G33" s="8"/>
      <c r="H33" s="8"/>
      <c r="I33" s="8"/>
      <c r="J33" s="8"/>
      <c r="K33" s="8"/>
      <c r="L33" s="8"/>
      <c r="M33" s="8"/>
      <c r="N33" s="8"/>
      <c r="O33" s="8"/>
      <c r="P33" s="8"/>
      <c r="Q33" s="8"/>
      <c r="R33" s="8"/>
      <c r="S33" s="8"/>
      <c r="T33" s="8"/>
      <c r="U33" s="8"/>
      <c r="V33" s="8"/>
      <c r="W33" s="8"/>
      <c r="X33" s="8"/>
      <c r="Y33" s="8"/>
      <c r="Z33" s="8"/>
    </row>
    <row r="34" spans="1:26" x14ac:dyDescent="0.3">
      <c r="A34" s="8"/>
      <c r="B34" s="8"/>
      <c r="C34" s="8"/>
      <c r="D34" s="8"/>
      <c r="E34" s="8"/>
      <c r="F34" s="8"/>
      <c r="G34" s="8"/>
      <c r="H34" s="8"/>
      <c r="I34" s="8"/>
      <c r="J34" s="8"/>
      <c r="K34" s="8"/>
      <c r="L34" s="8"/>
      <c r="M34" s="8"/>
      <c r="N34" s="8"/>
      <c r="O34" s="8"/>
      <c r="P34" s="8"/>
      <c r="Q34" s="8"/>
      <c r="R34" s="8"/>
      <c r="S34" s="8"/>
      <c r="T34" s="8"/>
      <c r="U34" s="8"/>
      <c r="V34" s="8"/>
      <c r="W34" s="8"/>
      <c r="X34" s="8"/>
      <c r="Y34" s="8"/>
      <c r="Z34" s="8"/>
    </row>
    <row r="35" spans="1:26" x14ac:dyDescent="0.3">
      <c r="A35" s="8"/>
      <c r="B35" s="8"/>
      <c r="C35" s="8"/>
      <c r="D35" s="8"/>
      <c r="E35" s="8"/>
      <c r="F35" s="8"/>
      <c r="G35" s="8"/>
      <c r="H35" s="8"/>
      <c r="I35" s="8"/>
      <c r="J35" s="8"/>
      <c r="K35" s="8"/>
      <c r="L35" s="8"/>
      <c r="M35" s="8"/>
      <c r="N35" s="8"/>
      <c r="O35" s="8"/>
      <c r="P35" s="8"/>
      <c r="Q35" s="8"/>
      <c r="R35" s="8"/>
      <c r="S35" s="8"/>
      <c r="T35" s="8"/>
      <c r="U35" s="8"/>
      <c r="V35" s="8"/>
      <c r="W35" s="8"/>
      <c r="X35" s="8"/>
      <c r="Y35" s="8"/>
      <c r="Z35" s="8"/>
    </row>
    <row r="36" spans="1:26" x14ac:dyDescent="0.3">
      <c r="A36" s="8"/>
      <c r="B36" s="8"/>
      <c r="C36" s="8"/>
      <c r="D36" s="8"/>
      <c r="E36" s="8"/>
      <c r="F36" s="8"/>
      <c r="G36" s="8"/>
      <c r="H36" s="8"/>
      <c r="I36" s="8"/>
      <c r="J36" s="8"/>
      <c r="K36" s="8"/>
      <c r="L36" s="8"/>
      <c r="M36" s="8"/>
      <c r="N36" s="8"/>
      <c r="O36" s="8"/>
      <c r="P36" s="8"/>
      <c r="Q36" s="8"/>
      <c r="R36" s="8"/>
      <c r="S36" s="8"/>
      <c r="T36" s="8"/>
      <c r="U36" s="8"/>
      <c r="V36" s="8"/>
      <c r="W36" s="8"/>
      <c r="X36" s="8"/>
      <c r="Y36" s="8"/>
      <c r="Z36" s="8"/>
    </row>
    <row r="37" spans="1:26" x14ac:dyDescent="0.3">
      <c r="A37" s="8"/>
      <c r="B37" s="8"/>
      <c r="C37" s="8"/>
      <c r="D37" s="8"/>
      <c r="E37" s="8"/>
      <c r="F37" s="8"/>
      <c r="G37" s="8"/>
      <c r="H37" s="8"/>
      <c r="I37" s="8"/>
      <c r="J37" s="8"/>
      <c r="K37" s="8"/>
      <c r="L37" s="8"/>
      <c r="M37" s="8"/>
      <c r="N37" s="8"/>
      <c r="O37" s="8"/>
      <c r="P37" s="8"/>
      <c r="Q37" s="8"/>
      <c r="R37" s="8"/>
      <c r="S37" s="8"/>
      <c r="T37" s="8"/>
      <c r="U37" s="8"/>
      <c r="V37" s="8"/>
      <c r="W37" s="8"/>
      <c r="X37" s="8"/>
      <c r="Y37" s="8"/>
      <c r="Z37" s="8"/>
    </row>
    <row r="38" spans="1:26" x14ac:dyDescent="0.3">
      <c r="A38" s="8"/>
      <c r="B38" s="8"/>
      <c r="C38" s="8"/>
      <c r="D38" s="8"/>
      <c r="E38" s="8"/>
      <c r="F38" s="8"/>
      <c r="G38" s="8"/>
      <c r="H38" s="8"/>
      <c r="I38" s="8"/>
      <c r="J38" s="8"/>
      <c r="K38" s="8"/>
      <c r="L38" s="8"/>
      <c r="M38" s="8"/>
      <c r="N38" s="8"/>
      <c r="O38" s="8"/>
      <c r="P38" s="8"/>
      <c r="Q38" s="8"/>
      <c r="R38" s="8"/>
      <c r="S38" s="8"/>
      <c r="T38" s="8"/>
      <c r="U38" s="8"/>
      <c r="V38" s="8"/>
      <c r="W38" s="8"/>
      <c r="X38" s="8"/>
      <c r="Y38" s="8"/>
      <c r="Z38" s="8"/>
    </row>
    <row r="39" spans="1:26" x14ac:dyDescent="0.3">
      <c r="A39" s="8"/>
      <c r="B39" s="8"/>
      <c r="C39" s="8"/>
      <c r="D39" s="8"/>
      <c r="E39" s="8"/>
      <c r="F39" s="8"/>
      <c r="G39" s="8"/>
      <c r="H39" s="8"/>
      <c r="I39" s="8"/>
      <c r="J39" s="8"/>
      <c r="K39" s="8"/>
      <c r="L39" s="8"/>
      <c r="M39" s="8"/>
      <c r="N39" s="8"/>
      <c r="O39" s="8"/>
      <c r="P39" s="8"/>
      <c r="Q39" s="8"/>
      <c r="R39" s="8"/>
      <c r="S39" s="8"/>
      <c r="T39" s="8"/>
      <c r="U39" s="8"/>
      <c r="V39" s="8"/>
      <c r="W39" s="8"/>
      <c r="X39" s="8"/>
      <c r="Y39" s="8"/>
      <c r="Z39" s="8"/>
    </row>
    <row r="40" spans="1:26" x14ac:dyDescent="0.3">
      <c r="A40" s="8"/>
      <c r="B40" s="8"/>
      <c r="C40" s="8"/>
      <c r="D40" s="8"/>
      <c r="E40" s="8"/>
      <c r="F40" s="8"/>
      <c r="G40" s="8"/>
      <c r="H40" s="8"/>
      <c r="I40" s="8"/>
      <c r="J40" s="8"/>
      <c r="K40" s="8"/>
      <c r="L40" s="8"/>
      <c r="M40" s="8"/>
      <c r="N40" s="8"/>
      <c r="O40" s="8"/>
      <c r="P40" s="8"/>
      <c r="Q40" s="8"/>
      <c r="R40" s="8"/>
      <c r="S40" s="8"/>
      <c r="T40" s="8"/>
      <c r="U40" s="8"/>
      <c r="V40" s="8"/>
      <c r="W40" s="8"/>
      <c r="X40" s="8"/>
      <c r="Y40" s="8"/>
      <c r="Z40" s="8"/>
    </row>
    <row r="41" spans="1:26" x14ac:dyDescent="0.3">
      <c r="A41" s="8"/>
      <c r="B41" s="8"/>
      <c r="C41" s="8"/>
      <c r="D41" s="8"/>
      <c r="E41" s="8"/>
      <c r="F41" s="8"/>
      <c r="G41" s="8"/>
      <c r="H41" s="8"/>
      <c r="I41" s="8"/>
      <c r="J41" s="8"/>
      <c r="K41" s="8"/>
      <c r="L41" s="8"/>
      <c r="M41" s="8"/>
      <c r="N41" s="8"/>
      <c r="O41" s="8"/>
      <c r="P41" s="8"/>
      <c r="Q41" s="8"/>
      <c r="R41" s="8"/>
      <c r="S41" s="8"/>
      <c r="T41" s="8"/>
      <c r="U41" s="8"/>
      <c r="V41" s="8"/>
      <c r="W41" s="8"/>
      <c r="X41" s="8"/>
      <c r="Y41" s="8"/>
      <c r="Z41" s="8"/>
    </row>
    <row r="42" spans="1:26" x14ac:dyDescent="0.3">
      <c r="A42" s="8"/>
      <c r="B42" s="8"/>
      <c r="C42" s="8"/>
      <c r="D42" s="8"/>
      <c r="E42" s="8"/>
      <c r="F42" s="8"/>
      <c r="G42" s="8"/>
      <c r="H42" s="8"/>
      <c r="I42" s="8"/>
      <c r="J42" s="8"/>
      <c r="K42" s="8"/>
      <c r="L42" s="8"/>
      <c r="M42" s="8"/>
      <c r="N42" s="8"/>
      <c r="O42" s="8"/>
      <c r="P42" s="8"/>
      <c r="Q42" s="8"/>
      <c r="R42" s="8"/>
      <c r="S42" s="8"/>
      <c r="T42" s="8"/>
      <c r="U42" s="8"/>
      <c r="V42" s="8"/>
      <c r="W42" s="8"/>
      <c r="X42" s="8"/>
      <c r="Y42" s="8"/>
      <c r="Z42" s="8"/>
    </row>
    <row r="43" spans="1:26" x14ac:dyDescent="0.3">
      <c r="A43" s="8"/>
      <c r="B43" s="8"/>
      <c r="C43" s="8"/>
      <c r="D43" s="8"/>
      <c r="E43" s="8"/>
      <c r="F43" s="8"/>
      <c r="G43" s="8"/>
      <c r="H43" s="8"/>
      <c r="I43" s="8"/>
      <c r="J43" s="8"/>
      <c r="K43" s="8"/>
      <c r="L43" s="8"/>
      <c r="M43" s="8"/>
      <c r="N43" s="8"/>
      <c r="O43" s="8"/>
      <c r="P43" s="8"/>
      <c r="Q43" s="8"/>
      <c r="R43" s="8"/>
      <c r="S43" s="8"/>
      <c r="T43" s="8"/>
      <c r="U43" s="8"/>
      <c r="V43" s="8"/>
      <c r="W43" s="8"/>
      <c r="X43" s="8"/>
      <c r="Y43" s="8"/>
      <c r="Z43" s="8"/>
    </row>
    <row r="44" spans="1:26" x14ac:dyDescent="0.3">
      <c r="A44" s="8"/>
      <c r="B44" s="8"/>
      <c r="C44" s="8"/>
      <c r="D44" s="8"/>
      <c r="E44" s="8"/>
      <c r="F44" s="8"/>
      <c r="G44" s="8"/>
      <c r="H44" s="8"/>
      <c r="I44" s="8"/>
      <c r="J44" s="8"/>
      <c r="K44" s="8"/>
      <c r="L44" s="8"/>
      <c r="M44" s="8"/>
      <c r="N44" s="8"/>
      <c r="O44" s="8"/>
      <c r="P44" s="8"/>
      <c r="Q44" s="8"/>
      <c r="R44" s="8"/>
      <c r="S44" s="8"/>
      <c r="T44" s="8"/>
      <c r="U44" s="8"/>
      <c r="V44" s="8"/>
      <c r="W44" s="8"/>
      <c r="X44" s="8"/>
      <c r="Y44" s="8"/>
      <c r="Z44" s="8"/>
    </row>
    <row r="45" spans="1:26" x14ac:dyDescent="0.3">
      <c r="A45" s="8"/>
      <c r="B45" s="8"/>
      <c r="C45" s="8"/>
      <c r="D45" s="8"/>
      <c r="E45" s="8"/>
      <c r="F45" s="8"/>
      <c r="G45" s="8"/>
      <c r="H45" s="8"/>
      <c r="I45" s="8"/>
      <c r="J45" s="8"/>
      <c r="K45" s="8"/>
      <c r="L45" s="8"/>
      <c r="M45" s="8"/>
      <c r="N45" s="8"/>
      <c r="O45" s="8"/>
      <c r="P45" s="8"/>
      <c r="Q45" s="8"/>
      <c r="R45" s="8"/>
      <c r="S45" s="8"/>
      <c r="T45" s="8"/>
      <c r="U45" s="8"/>
      <c r="V45" s="8"/>
      <c r="W45" s="8"/>
      <c r="X45" s="8"/>
      <c r="Y45" s="8"/>
      <c r="Z45" s="8"/>
    </row>
    <row r="46" spans="1:26" x14ac:dyDescent="0.3">
      <c r="A46" s="8"/>
      <c r="B46" s="8"/>
      <c r="C46" s="8"/>
      <c r="D46" s="8"/>
      <c r="E46" s="8"/>
      <c r="F46" s="8"/>
      <c r="G46" s="8"/>
      <c r="H46" s="8"/>
      <c r="I46" s="8"/>
      <c r="J46" s="8"/>
      <c r="K46" s="8"/>
      <c r="L46" s="8"/>
      <c r="M46" s="8"/>
      <c r="N46" s="8"/>
      <c r="O46" s="8"/>
      <c r="P46" s="8"/>
      <c r="Q46" s="8"/>
      <c r="R46" s="8"/>
      <c r="S46" s="8"/>
      <c r="T46" s="8"/>
      <c r="U46" s="8"/>
      <c r="V46" s="8"/>
      <c r="W46" s="8"/>
      <c r="X46" s="8"/>
      <c r="Y46" s="8"/>
      <c r="Z46" s="8"/>
    </row>
    <row r="47" spans="1:26" x14ac:dyDescent="0.3">
      <c r="A47" s="8"/>
      <c r="B47" s="8"/>
      <c r="C47" s="8"/>
      <c r="D47" s="8"/>
      <c r="E47" s="8"/>
      <c r="F47" s="8"/>
      <c r="G47" s="8"/>
      <c r="H47" s="8"/>
      <c r="I47" s="8"/>
      <c r="J47" s="8"/>
      <c r="K47" s="8"/>
      <c r="L47" s="8"/>
      <c r="M47" s="8"/>
      <c r="N47" s="8"/>
      <c r="O47" s="8"/>
      <c r="P47" s="8"/>
      <c r="Q47" s="8"/>
      <c r="R47" s="8"/>
      <c r="S47" s="8"/>
      <c r="T47" s="8"/>
      <c r="U47" s="8"/>
      <c r="V47" s="8"/>
      <c r="W47" s="8"/>
      <c r="X47" s="8"/>
      <c r="Y47" s="8"/>
      <c r="Z47" s="8"/>
    </row>
    <row r="48" spans="1:26" x14ac:dyDescent="0.3">
      <c r="A48" s="8"/>
      <c r="B48" s="8"/>
      <c r="C48" s="8"/>
      <c r="D48" s="8"/>
      <c r="E48" s="8"/>
      <c r="F48" s="8"/>
      <c r="G48" s="8"/>
      <c r="H48" s="8"/>
      <c r="I48" s="8"/>
      <c r="J48" s="8"/>
      <c r="K48" s="8"/>
      <c r="L48" s="8"/>
      <c r="M48" s="8"/>
      <c r="N48" s="8"/>
      <c r="O48" s="8"/>
      <c r="P48" s="8"/>
      <c r="Q48" s="8"/>
      <c r="R48" s="8"/>
      <c r="S48" s="8"/>
      <c r="T48" s="8"/>
      <c r="U48" s="8"/>
      <c r="V48" s="8"/>
      <c r="W48" s="8"/>
      <c r="X48" s="8"/>
      <c r="Y48" s="8"/>
      <c r="Z48" s="8"/>
    </row>
    <row r="49" spans="1:26" x14ac:dyDescent="0.3">
      <c r="A49" s="8"/>
      <c r="B49" s="8"/>
      <c r="C49" s="8"/>
      <c r="D49" s="8"/>
      <c r="E49" s="8"/>
      <c r="F49" s="8"/>
      <c r="G49" s="8"/>
      <c r="H49" s="8"/>
      <c r="I49" s="8"/>
      <c r="J49" s="8"/>
      <c r="K49" s="8"/>
      <c r="L49" s="8"/>
      <c r="M49" s="8"/>
      <c r="N49" s="8"/>
      <c r="O49" s="8"/>
      <c r="P49" s="8"/>
      <c r="Q49" s="8"/>
      <c r="R49" s="8"/>
      <c r="S49" s="8"/>
      <c r="T49" s="8"/>
      <c r="U49" s="8"/>
      <c r="V49" s="8"/>
      <c r="W49" s="8"/>
      <c r="X49" s="8"/>
      <c r="Y49" s="8"/>
      <c r="Z49" s="8"/>
    </row>
    <row r="50" spans="1:26" x14ac:dyDescent="0.3">
      <c r="A50" s="8"/>
      <c r="B50" s="8"/>
      <c r="C50" s="8"/>
      <c r="D50" s="8"/>
      <c r="E50" s="8"/>
      <c r="F50" s="8"/>
      <c r="G50" s="8"/>
      <c r="H50" s="8"/>
      <c r="I50" s="8"/>
      <c r="J50" s="8"/>
      <c r="K50" s="8"/>
      <c r="L50" s="8"/>
      <c r="M50" s="8"/>
      <c r="N50" s="8"/>
      <c r="O50" s="8"/>
      <c r="P50" s="8"/>
      <c r="Q50" s="8"/>
      <c r="R50" s="8"/>
      <c r="S50" s="8"/>
      <c r="T50" s="8"/>
      <c r="U50" s="8"/>
      <c r="V50" s="8"/>
      <c r="W50" s="8"/>
      <c r="X50" s="8"/>
      <c r="Y50" s="8"/>
      <c r="Z50" s="8"/>
    </row>
    <row r="51" spans="1:26" x14ac:dyDescent="0.3">
      <c r="A51" s="8"/>
      <c r="B51" s="8"/>
      <c r="C51" s="8"/>
      <c r="D51" s="8"/>
      <c r="E51" s="8"/>
      <c r="F51" s="8"/>
      <c r="G51" s="8"/>
      <c r="H51" s="8"/>
      <c r="I51" s="8"/>
      <c r="J51" s="8"/>
      <c r="K51" s="8"/>
      <c r="L51" s="8"/>
      <c r="M51" s="8"/>
      <c r="N51" s="8"/>
      <c r="O51" s="8"/>
      <c r="P51" s="8"/>
      <c r="Q51" s="8"/>
      <c r="R51" s="8"/>
      <c r="S51" s="8"/>
      <c r="T51" s="8"/>
      <c r="U51" s="8"/>
      <c r="V51" s="8"/>
      <c r="W51" s="8"/>
      <c r="X51" s="8"/>
      <c r="Y51" s="8"/>
      <c r="Z51" s="8"/>
    </row>
    <row r="52" spans="1:26" x14ac:dyDescent="0.3">
      <c r="A52" s="8"/>
      <c r="B52" s="8"/>
      <c r="C52" s="8"/>
      <c r="D52" s="8"/>
      <c r="E52" s="8"/>
      <c r="F52" s="8"/>
      <c r="G52" s="8"/>
      <c r="H52" s="8"/>
      <c r="I52" s="8"/>
      <c r="J52" s="8"/>
      <c r="K52" s="8"/>
      <c r="L52" s="8"/>
      <c r="M52" s="8"/>
      <c r="N52" s="8"/>
      <c r="O52" s="8"/>
      <c r="P52" s="8"/>
      <c r="Q52" s="8"/>
      <c r="R52" s="8"/>
      <c r="S52" s="8"/>
      <c r="T52" s="8"/>
      <c r="U52" s="8"/>
      <c r="V52" s="8"/>
      <c r="W52" s="8"/>
      <c r="X52" s="8"/>
      <c r="Y52" s="8"/>
      <c r="Z52" s="8"/>
    </row>
    <row r="53" spans="1:26" x14ac:dyDescent="0.3">
      <c r="A53" s="8"/>
      <c r="B53" s="8"/>
      <c r="C53" s="8"/>
      <c r="D53" s="8"/>
      <c r="E53" s="8"/>
      <c r="F53" s="8"/>
      <c r="G53" s="8"/>
      <c r="H53" s="8"/>
      <c r="I53" s="8"/>
      <c r="J53" s="8"/>
      <c r="K53" s="8"/>
      <c r="L53" s="8"/>
      <c r="M53" s="8"/>
      <c r="N53" s="8"/>
      <c r="O53" s="8"/>
      <c r="P53" s="8"/>
      <c r="Q53" s="8"/>
      <c r="R53" s="8"/>
      <c r="S53" s="8"/>
      <c r="T53" s="8"/>
      <c r="U53" s="8"/>
      <c r="V53" s="8"/>
      <c r="W53" s="8"/>
      <c r="X53" s="8"/>
      <c r="Y53" s="8"/>
      <c r="Z53" s="8"/>
    </row>
    <row r="54" spans="1:26" x14ac:dyDescent="0.3">
      <c r="A54" s="8"/>
      <c r="B54" s="8"/>
      <c r="C54" s="8"/>
      <c r="D54" s="8"/>
      <c r="E54" s="8"/>
      <c r="F54" s="8"/>
      <c r="G54" s="8"/>
      <c r="H54" s="8"/>
      <c r="I54" s="8"/>
      <c r="J54" s="8"/>
      <c r="K54" s="8"/>
      <c r="L54" s="8"/>
      <c r="M54" s="8"/>
      <c r="N54" s="8"/>
      <c r="O54" s="8"/>
      <c r="P54" s="8"/>
      <c r="Q54" s="8"/>
      <c r="R54" s="8"/>
      <c r="S54" s="8"/>
      <c r="T54" s="8"/>
      <c r="U54" s="8"/>
      <c r="V54" s="8"/>
      <c r="W54" s="8"/>
      <c r="X54" s="8"/>
      <c r="Y54" s="8"/>
      <c r="Z54" s="8"/>
    </row>
    <row r="55" spans="1:26" x14ac:dyDescent="0.3">
      <c r="A55" s="8"/>
      <c r="B55" s="8"/>
      <c r="C55" s="8"/>
      <c r="D55" s="8"/>
      <c r="E55" s="8"/>
      <c r="F55" s="8"/>
      <c r="G55" s="8"/>
      <c r="H55" s="8"/>
      <c r="I55" s="8"/>
      <c r="J55" s="8"/>
      <c r="K55" s="8"/>
      <c r="L55" s="8"/>
      <c r="M55" s="8"/>
      <c r="N55" s="8"/>
      <c r="O55" s="8"/>
      <c r="P55" s="8"/>
      <c r="Q55" s="8"/>
      <c r="R55" s="8"/>
      <c r="S55" s="8"/>
      <c r="T55" s="8"/>
      <c r="U55" s="8"/>
      <c r="V55" s="8"/>
      <c r="W55" s="8"/>
      <c r="X55" s="8"/>
      <c r="Y55" s="8"/>
      <c r="Z55" s="8"/>
    </row>
    <row r="56" spans="1:26" x14ac:dyDescent="0.3">
      <c r="A56" s="8"/>
      <c r="B56" s="8"/>
      <c r="C56" s="8"/>
      <c r="D56" s="8"/>
      <c r="E56" s="8"/>
      <c r="F56" s="8"/>
      <c r="G56" s="8"/>
      <c r="H56" s="8"/>
      <c r="I56" s="8"/>
      <c r="J56" s="8"/>
      <c r="K56" s="8"/>
      <c r="L56" s="8"/>
      <c r="M56" s="8"/>
      <c r="N56" s="8"/>
      <c r="O56" s="8"/>
      <c r="P56" s="8"/>
      <c r="Q56" s="8"/>
      <c r="R56" s="8"/>
      <c r="S56" s="8"/>
      <c r="T56" s="8"/>
      <c r="U56" s="8"/>
      <c r="V56" s="8"/>
      <c r="W56" s="8"/>
      <c r="X56" s="8"/>
      <c r="Y56" s="8"/>
      <c r="Z56" s="8"/>
    </row>
    <row r="57" spans="1:26" x14ac:dyDescent="0.3">
      <c r="A57" s="8"/>
      <c r="B57" s="8"/>
      <c r="C57" s="8"/>
      <c r="D57" s="8"/>
      <c r="E57" s="8"/>
      <c r="F57" s="8"/>
      <c r="G57" s="8"/>
      <c r="H57" s="8"/>
      <c r="I57" s="8"/>
      <c r="J57" s="8"/>
      <c r="K57" s="8"/>
      <c r="L57" s="8"/>
      <c r="M57" s="8"/>
      <c r="N57" s="8"/>
      <c r="O57" s="8"/>
      <c r="P57" s="8"/>
      <c r="Q57" s="8"/>
      <c r="R57" s="8"/>
      <c r="S57" s="8"/>
      <c r="T57" s="8"/>
      <c r="U57" s="8"/>
      <c r="V57" s="8"/>
      <c r="W57" s="8"/>
      <c r="X57" s="8"/>
      <c r="Y57" s="8"/>
      <c r="Z57" s="8"/>
    </row>
    <row r="58" spans="1:26" x14ac:dyDescent="0.3">
      <c r="A58" s="8"/>
      <c r="B58" s="8"/>
      <c r="C58" s="8"/>
      <c r="D58" s="8"/>
      <c r="E58" s="8"/>
      <c r="F58" s="8"/>
      <c r="G58" s="8"/>
      <c r="H58" s="8"/>
      <c r="I58" s="8"/>
      <c r="J58" s="8"/>
      <c r="K58" s="8"/>
      <c r="L58" s="8"/>
      <c r="M58" s="8"/>
      <c r="N58" s="8"/>
      <c r="O58" s="8"/>
      <c r="P58" s="8"/>
      <c r="Q58" s="8"/>
      <c r="R58" s="8"/>
      <c r="S58" s="8"/>
      <c r="T58" s="8"/>
      <c r="U58" s="8"/>
      <c r="V58" s="8"/>
      <c r="W58" s="8"/>
      <c r="X58" s="8"/>
      <c r="Y58" s="8"/>
      <c r="Z58" s="8"/>
    </row>
    <row r="59" spans="1:26" x14ac:dyDescent="0.3">
      <c r="A59" s="8"/>
      <c r="B59" s="8"/>
      <c r="C59" s="8"/>
      <c r="D59" s="8"/>
      <c r="E59" s="8"/>
      <c r="F59" s="8"/>
      <c r="G59" s="8"/>
      <c r="H59" s="8"/>
      <c r="I59" s="8"/>
      <c r="J59" s="8"/>
      <c r="K59" s="8"/>
      <c r="L59" s="8"/>
      <c r="M59" s="8"/>
      <c r="N59" s="8"/>
      <c r="O59" s="8"/>
      <c r="P59" s="8"/>
      <c r="Q59" s="8"/>
      <c r="R59" s="8"/>
      <c r="S59" s="8"/>
      <c r="T59" s="8"/>
      <c r="U59" s="8"/>
      <c r="V59" s="8"/>
      <c r="W59" s="8"/>
      <c r="X59" s="8"/>
      <c r="Y59" s="8"/>
      <c r="Z59" s="8"/>
    </row>
    <row r="60" spans="1:26" x14ac:dyDescent="0.3">
      <c r="A60" s="8"/>
      <c r="B60" s="8"/>
      <c r="C60" s="8"/>
      <c r="D60" s="8"/>
      <c r="E60" s="8"/>
      <c r="F60" s="8"/>
      <c r="G60" s="8"/>
      <c r="H60" s="8"/>
      <c r="I60" s="8"/>
      <c r="J60" s="8"/>
      <c r="K60" s="8"/>
      <c r="L60" s="8"/>
      <c r="M60" s="8"/>
      <c r="N60" s="8"/>
      <c r="O60" s="8"/>
      <c r="P60" s="8"/>
      <c r="Q60" s="8"/>
      <c r="R60" s="8"/>
      <c r="S60" s="8"/>
      <c r="T60" s="8"/>
      <c r="U60" s="8"/>
      <c r="V60" s="8"/>
      <c r="W60" s="8"/>
      <c r="X60" s="8"/>
      <c r="Y60" s="8"/>
      <c r="Z60" s="8"/>
    </row>
    <row r="61" spans="1:26" x14ac:dyDescent="0.3">
      <c r="A61" s="8"/>
      <c r="B61" s="8"/>
      <c r="C61" s="8"/>
      <c r="D61" s="8"/>
      <c r="E61" s="8"/>
      <c r="F61" s="8"/>
      <c r="G61" s="8"/>
      <c r="H61" s="8"/>
      <c r="I61" s="8"/>
      <c r="J61" s="8"/>
      <c r="K61" s="8"/>
      <c r="L61" s="8"/>
      <c r="M61" s="8"/>
      <c r="N61" s="8"/>
      <c r="O61" s="8"/>
      <c r="P61" s="8"/>
      <c r="Q61" s="8"/>
      <c r="R61" s="8"/>
      <c r="S61" s="8"/>
      <c r="T61" s="8"/>
      <c r="U61" s="8"/>
      <c r="V61" s="8"/>
      <c r="W61" s="8"/>
      <c r="X61" s="8"/>
      <c r="Y61" s="8"/>
      <c r="Z61" s="8"/>
    </row>
    <row r="62" spans="1:26" x14ac:dyDescent="0.3">
      <c r="A62" s="8"/>
      <c r="B62" s="8"/>
      <c r="C62" s="8"/>
      <c r="D62" s="8"/>
      <c r="E62" s="8"/>
      <c r="F62" s="8"/>
      <c r="G62" s="8"/>
      <c r="H62" s="8"/>
      <c r="I62" s="8"/>
      <c r="J62" s="8"/>
      <c r="K62" s="8"/>
      <c r="L62" s="8"/>
      <c r="M62" s="8"/>
      <c r="N62" s="8"/>
      <c r="O62" s="8"/>
      <c r="P62" s="8"/>
      <c r="Q62" s="8"/>
      <c r="R62" s="8"/>
      <c r="S62" s="8"/>
      <c r="T62" s="8"/>
      <c r="U62" s="8"/>
      <c r="V62" s="8"/>
      <c r="W62" s="8"/>
      <c r="X62" s="8"/>
      <c r="Y62" s="8"/>
      <c r="Z62" s="8"/>
    </row>
    <row r="63" spans="1:26" x14ac:dyDescent="0.3">
      <c r="A63" s="8"/>
      <c r="B63" s="8"/>
      <c r="C63" s="8"/>
      <c r="D63" s="8"/>
      <c r="E63" s="8"/>
      <c r="F63" s="8"/>
      <c r="G63" s="8"/>
      <c r="H63" s="8"/>
      <c r="I63" s="8"/>
      <c r="J63" s="8"/>
      <c r="K63" s="8"/>
      <c r="L63" s="8"/>
      <c r="M63" s="8"/>
      <c r="N63" s="8"/>
      <c r="O63" s="8"/>
      <c r="P63" s="8"/>
      <c r="Q63" s="8"/>
      <c r="R63" s="8"/>
      <c r="S63" s="8"/>
      <c r="T63" s="8"/>
      <c r="U63" s="8"/>
      <c r="V63" s="8"/>
      <c r="W63" s="8"/>
      <c r="X63" s="8"/>
      <c r="Y63" s="8"/>
      <c r="Z63" s="8"/>
    </row>
    <row r="64" spans="1:26" x14ac:dyDescent="0.3">
      <c r="A64" s="8"/>
      <c r="B64" s="8"/>
      <c r="C64" s="8"/>
      <c r="D64" s="8"/>
      <c r="E64" s="8"/>
      <c r="F64" s="8"/>
      <c r="G64" s="8"/>
      <c r="H64" s="8"/>
      <c r="I64" s="8"/>
      <c r="J64" s="8"/>
      <c r="K64" s="8"/>
      <c r="L64" s="8"/>
      <c r="M64" s="8"/>
      <c r="N64" s="8"/>
      <c r="O64" s="8"/>
      <c r="P64" s="8"/>
      <c r="Q64" s="8"/>
      <c r="R64" s="8"/>
      <c r="S64" s="8"/>
      <c r="T64" s="8"/>
      <c r="U64" s="8"/>
      <c r="V64" s="8"/>
      <c r="W64" s="8"/>
      <c r="X64" s="8"/>
      <c r="Y64" s="8"/>
      <c r="Z64" s="8"/>
    </row>
    <row r="65" spans="1:26" x14ac:dyDescent="0.3">
      <c r="A65" s="8"/>
      <c r="B65" s="8"/>
      <c r="C65" s="8"/>
      <c r="D65" s="8"/>
      <c r="E65" s="8"/>
      <c r="F65" s="8"/>
      <c r="G65" s="8"/>
      <c r="H65" s="8"/>
      <c r="I65" s="8"/>
      <c r="J65" s="8"/>
      <c r="K65" s="8"/>
      <c r="L65" s="8"/>
      <c r="M65" s="8"/>
      <c r="N65" s="8"/>
      <c r="O65" s="8"/>
      <c r="P65" s="8"/>
      <c r="Q65" s="8"/>
      <c r="R65" s="8"/>
      <c r="S65" s="8"/>
      <c r="T65" s="8"/>
      <c r="U65" s="8"/>
      <c r="V65" s="8"/>
      <c r="W65" s="8"/>
      <c r="X65" s="8"/>
      <c r="Y65" s="8"/>
      <c r="Z65" s="8"/>
    </row>
    <row r="66" spans="1:26" x14ac:dyDescent="0.3">
      <c r="A66" s="8"/>
      <c r="B66" s="8"/>
      <c r="C66" s="8"/>
      <c r="D66" s="8"/>
      <c r="E66" s="8"/>
      <c r="F66" s="8"/>
      <c r="G66" s="8"/>
      <c r="H66" s="8"/>
      <c r="I66" s="8"/>
      <c r="J66" s="8"/>
      <c r="K66" s="8"/>
      <c r="L66" s="8"/>
      <c r="M66" s="8"/>
      <c r="N66" s="8"/>
      <c r="O66" s="8"/>
      <c r="P66" s="8"/>
      <c r="Q66" s="8"/>
      <c r="R66" s="8"/>
      <c r="S66" s="8"/>
      <c r="T66" s="8"/>
      <c r="U66" s="8"/>
      <c r="V66" s="8"/>
      <c r="W66" s="8"/>
      <c r="X66" s="8"/>
      <c r="Y66" s="8"/>
      <c r="Z66" s="8"/>
    </row>
    <row r="67" spans="1:26" x14ac:dyDescent="0.3">
      <c r="A67" s="8"/>
      <c r="B67" s="8"/>
      <c r="C67" s="8"/>
      <c r="D67" s="8"/>
      <c r="E67" s="8"/>
      <c r="F67" s="8"/>
      <c r="G67" s="8"/>
      <c r="H67" s="8"/>
      <c r="I67" s="8"/>
      <c r="J67" s="8"/>
      <c r="K67" s="8"/>
      <c r="L67" s="8"/>
      <c r="M67" s="8"/>
      <c r="N67" s="8"/>
      <c r="O67" s="8"/>
      <c r="P67" s="8"/>
      <c r="Q67" s="8"/>
      <c r="R67" s="8"/>
      <c r="S67" s="8"/>
      <c r="T67" s="8"/>
      <c r="U67" s="8"/>
      <c r="V67" s="8"/>
      <c r="W67" s="8"/>
      <c r="X67" s="8"/>
      <c r="Y67" s="8"/>
      <c r="Z67" s="8"/>
    </row>
    <row r="68" spans="1:26" x14ac:dyDescent="0.3">
      <c r="A68" s="8"/>
      <c r="B68" s="8"/>
      <c r="C68" s="8"/>
      <c r="D68" s="8"/>
      <c r="E68" s="8"/>
      <c r="F68" s="8"/>
      <c r="G68" s="8"/>
      <c r="H68" s="8"/>
      <c r="I68" s="8"/>
      <c r="J68" s="8"/>
      <c r="K68" s="8"/>
      <c r="L68" s="8"/>
      <c r="M68" s="8"/>
      <c r="N68" s="8"/>
      <c r="O68" s="8"/>
      <c r="P68" s="8"/>
      <c r="Q68" s="8"/>
      <c r="R68" s="8"/>
      <c r="S68" s="8"/>
      <c r="T68" s="8"/>
      <c r="U68" s="8"/>
      <c r="V68" s="8"/>
      <c r="W68" s="8"/>
      <c r="X68" s="8"/>
      <c r="Y68" s="8"/>
      <c r="Z68" s="8"/>
    </row>
    <row r="69" spans="1:26" x14ac:dyDescent="0.3">
      <c r="A69" s="8"/>
      <c r="B69" s="8"/>
      <c r="C69" s="8"/>
      <c r="D69" s="8"/>
      <c r="E69" s="8"/>
      <c r="F69" s="8"/>
      <c r="G69" s="8"/>
      <c r="H69" s="8"/>
      <c r="I69" s="8"/>
      <c r="J69" s="8"/>
      <c r="K69" s="8"/>
      <c r="L69" s="8"/>
      <c r="M69" s="8"/>
      <c r="N69" s="8"/>
      <c r="O69" s="8"/>
      <c r="P69" s="8"/>
      <c r="Q69" s="8"/>
      <c r="R69" s="8"/>
      <c r="S69" s="8"/>
      <c r="T69" s="8"/>
      <c r="U69" s="8"/>
      <c r="V69" s="8"/>
      <c r="W69" s="8"/>
      <c r="X69" s="8"/>
      <c r="Y69" s="8"/>
      <c r="Z69" s="8"/>
    </row>
    <row r="70" spans="1:26" x14ac:dyDescent="0.3">
      <c r="A70" s="8"/>
      <c r="B70" s="8"/>
      <c r="C70" s="8"/>
      <c r="D70" s="8"/>
      <c r="E70" s="8"/>
      <c r="F70" s="8"/>
      <c r="G70" s="8"/>
      <c r="H70" s="8"/>
      <c r="I70" s="8"/>
      <c r="J70" s="8"/>
      <c r="K70" s="8"/>
      <c r="L70" s="8"/>
      <c r="M70" s="8"/>
      <c r="N70" s="8"/>
      <c r="O70" s="8"/>
      <c r="P70" s="8"/>
      <c r="Q70" s="8"/>
      <c r="R70" s="8"/>
      <c r="S70" s="8"/>
      <c r="T70" s="8"/>
      <c r="U70" s="8"/>
      <c r="V70" s="8"/>
      <c r="W70" s="8"/>
      <c r="X70" s="8"/>
      <c r="Y70" s="8"/>
      <c r="Z70" s="8"/>
    </row>
    <row r="71" spans="1:26" x14ac:dyDescent="0.3">
      <c r="A71" s="8"/>
      <c r="B71" s="8"/>
      <c r="C71" s="8"/>
      <c r="D71" s="8"/>
      <c r="E71" s="8"/>
      <c r="F71" s="8"/>
      <c r="G71" s="8"/>
      <c r="H71" s="8"/>
      <c r="I71" s="8"/>
      <c r="J71" s="8"/>
      <c r="K71" s="8"/>
      <c r="L71" s="8"/>
      <c r="M71" s="8"/>
      <c r="N71" s="8"/>
      <c r="O71" s="8"/>
      <c r="P71" s="8"/>
      <c r="Q71" s="8"/>
      <c r="R71" s="8"/>
      <c r="S71" s="8"/>
      <c r="T71" s="8"/>
      <c r="U71" s="8"/>
      <c r="V71" s="8"/>
      <c r="W71" s="8"/>
      <c r="X71" s="8"/>
      <c r="Y71" s="8"/>
      <c r="Z71" s="8"/>
    </row>
    <row r="72" spans="1:26" x14ac:dyDescent="0.3">
      <c r="A72" s="8"/>
      <c r="B72" s="8"/>
      <c r="C72" s="8"/>
      <c r="D72" s="8"/>
      <c r="E72" s="8"/>
      <c r="F72" s="8"/>
      <c r="G72" s="8"/>
      <c r="H72" s="8"/>
      <c r="I72" s="8"/>
      <c r="J72" s="8"/>
      <c r="K72" s="8"/>
      <c r="L72" s="8"/>
      <c r="M72" s="8"/>
      <c r="N72" s="8"/>
      <c r="O72" s="8"/>
      <c r="P72" s="8"/>
      <c r="Q72" s="8"/>
      <c r="R72" s="8"/>
      <c r="S72" s="8"/>
      <c r="T72" s="8"/>
      <c r="U72" s="8"/>
      <c r="V72" s="8"/>
      <c r="W72" s="8"/>
      <c r="X72" s="8"/>
      <c r="Y72" s="8"/>
      <c r="Z72" s="8"/>
    </row>
    <row r="73" spans="1:26" x14ac:dyDescent="0.3">
      <c r="A73" s="8"/>
      <c r="B73" s="8"/>
      <c r="C73" s="8"/>
      <c r="D73" s="8"/>
      <c r="E73" s="8"/>
      <c r="F73" s="8"/>
      <c r="G73" s="8"/>
      <c r="H73" s="8"/>
      <c r="I73" s="8"/>
      <c r="J73" s="8"/>
      <c r="K73" s="8"/>
      <c r="L73" s="8"/>
      <c r="M73" s="8"/>
      <c r="N73" s="8"/>
      <c r="O73" s="8"/>
      <c r="P73" s="8"/>
      <c r="Q73" s="8"/>
      <c r="R73" s="8"/>
      <c r="S73" s="8"/>
      <c r="T73" s="8"/>
      <c r="U73" s="8"/>
      <c r="V73" s="8"/>
      <c r="W73" s="8"/>
      <c r="X73" s="8"/>
      <c r="Y73" s="8"/>
      <c r="Z73" s="8"/>
    </row>
    <row r="74" spans="1:26" x14ac:dyDescent="0.3">
      <c r="A74" s="8"/>
      <c r="B74" s="8"/>
      <c r="C74" s="8"/>
      <c r="D74" s="8"/>
      <c r="E74" s="8"/>
      <c r="F74" s="8"/>
      <c r="G74" s="8"/>
      <c r="H74" s="8"/>
      <c r="I74" s="8"/>
      <c r="J74" s="8"/>
      <c r="K74" s="8"/>
      <c r="L74" s="8"/>
      <c r="M74" s="8"/>
      <c r="N74" s="8"/>
      <c r="O74" s="8"/>
      <c r="P74" s="8"/>
      <c r="Q74" s="8"/>
      <c r="R74" s="8"/>
      <c r="S74" s="8"/>
      <c r="T74" s="8"/>
      <c r="U74" s="8"/>
      <c r="V74" s="8"/>
      <c r="W74" s="8"/>
      <c r="X74" s="8"/>
      <c r="Y74" s="8"/>
      <c r="Z74" s="8"/>
    </row>
    <row r="75" spans="1:26" x14ac:dyDescent="0.3">
      <c r="A75" s="8"/>
      <c r="B75" s="8"/>
      <c r="C75" s="8"/>
      <c r="D75" s="8"/>
      <c r="E75" s="8"/>
      <c r="F75" s="8"/>
      <c r="G75" s="8"/>
      <c r="H75" s="8"/>
      <c r="I75" s="8"/>
      <c r="J75" s="8"/>
      <c r="K75" s="8"/>
      <c r="L75" s="8"/>
      <c r="M75" s="8"/>
      <c r="N75" s="8"/>
      <c r="O75" s="8"/>
      <c r="P75" s="8"/>
      <c r="Q75" s="8"/>
      <c r="R75" s="8"/>
      <c r="S75" s="8"/>
      <c r="T75" s="8"/>
      <c r="U75" s="8"/>
      <c r="V75" s="8"/>
      <c r="W75" s="8"/>
      <c r="X75" s="8"/>
      <c r="Y75" s="8"/>
      <c r="Z75" s="8"/>
    </row>
    <row r="76" spans="1:26" x14ac:dyDescent="0.3">
      <c r="A76" s="8"/>
      <c r="B76" s="8"/>
      <c r="C76" s="8"/>
      <c r="D76" s="8"/>
      <c r="E76" s="8"/>
      <c r="F76" s="8"/>
      <c r="G76" s="8"/>
      <c r="H76" s="8"/>
      <c r="I76" s="8"/>
      <c r="J76" s="8"/>
      <c r="K76" s="8"/>
      <c r="L76" s="8"/>
      <c r="M76" s="8"/>
      <c r="N76" s="8"/>
      <c r="O76" s="8"/>
      <c r="P76" s="8"/>
      <c r="Q76" s="8"/>
      <c r="R76" s="8"/>
      <c r="S76" s="8"/>
      <c r="T76" s="8"/>
      <c r="U76" s="8"/>
      <c r="V76" s="8"/>
      <c r="W76" s="8"/>
      <c r="X76" s="8"/>
      <c r="Y76" s="8"/>
      <c r="Z76" s="8"/>
    </row>
    <row r="77" spans="1:26" x14ac:dyDescent="0.3">
      <c r="A77" s="8"/>
      <c r="B77" s="8"/>
      <c r="C77" s="8"/>
      <c r="D77" s="8"/>
      <c r="E77" s="8"/>
      <c r="F77" s="8"/>
      <c r="G77" s="8"/>
      <c r="H77" s="8"/>
      <c r="I77" s="8"/>
      <c r="J77" s="8"/>
      <c r="K77" s="8"/>
      <c r="L77" s="8"/>
      <c r="M77" s="8"/>
      <c r="N77" s="8"/>
      <c r="O77" s="8"/>
      <c r="P77" s="8"/>
      <c r="Q77" s="8"/>
      <c r="R77" s="8"/>
      <c r="S77" s="8"/>
      <c r="T77" s="8"/>
      <c r="U77" s="8"/>
      <c r="V77" s="8"/>
      <c r="W77" s="8"/>
      <c r="X77" s="8"/>
      <c r="Y77" s="8"/>
      <c r="Z77" s="8"/>
    </row>
    <row r="78" spans="1:26" x14ac:dyDescent="0.3">
      <c r="A78" s="8"/>
      <c r="B78" s="8"/>
      <c r="C78" s="8"/>
      <c r="D78" s="8"/>
      <c r="E78" s="8"/>
      <c r="F78" s="8"/>
      <c r="G78" s="8"/>
      <c r="H78" s="8"/>
      <c r="I78" s="8"/>
      <c r="J78" s="8"/>
      <c r="K78" s="8"/>
      <c r="L78" s="8"/>
      <c r="M78" s="8"/>
      <c r="N78" s="8"/>
      <c r="O78" s="8"/>
      <c r="P78" s="8"/>
      <c r="Q78" s="8"/>
      <c r="R78" s="8"/>
      <c r="S78" s="8"/>
      <c r="T78" s="8"/>
      <c r="U78" s="8"/>
      <c r="V78" s="8"/>
      <c r="W78" s="8"/>
      <c r="X78" s="8"/>
      <c r="Y78" s="8"/>
      <c r="Z78" s="8"/>
    </row>
    <row r="79" spans="1:26" x14ac:dyDescent="0.3">
      <c r="A79" s="8"/>
      <c r="B79" s="8"/>
      <c r="C79" s="8"/>
      <c r="D79" s="8"/>
      <c r="E79" s="8"/>
      <c r="F79" s="8"/>
      <c r="G79" s="8"/>
      <c r="H79" s="8"/>
      <c r="I79" s="8"/>
      <c r="J79" s="8"/>
      <c r="K79" s="8"/>
      <c r="L79" s="8"/>
      <c r="M79" s="8"/>
      <c r="N79" s="8"/>
      <c r="O79" s="8"/>
      <c r="P79" s="8"/>
      <c r="Q79" s="8"/>
      <c r="R79" s="8"/>
      <c r="S79" s="8"/>
      <c r="T79" s="8"/>
      <c r="U79" s="8"/>
      <c r="V79" s="8"/>
      <c r="W79" s="8"/>
      <c r="X79" s="8"/>
      <c r="Y79" s="8"/>
      <c r="Z79" s="8"/>
    </row>
    <row r="80" spans="1:26" x14ac:dyDescent="0.3">
      <c r="A80" s="8"/>
      <c r="B80" s="8"/>
      <c r="C80" s="8"/>
      <c r="D80" s="8"/>
      <c r="E80" s="8"/>
      <c r="F80" s="8"/>
      <c r="G80" s="8"/>
      <c r="H80" s="8"/>
      <c r="I80" s="8"/>
      <c r="J80" s="8"/>
      <c r="K80" s="8"/>
      <c r="L80" s="8"/>
      <c r="M80" s="8"/>
      <c r="N80" s="8"/>
      <c r="O80" s="8"/>
      <c r="P80" s="8"/>
      <c r="Q80" s="8"/>
      <c r="R80" s="8"/>
      <c r="S80" s="8"/>
      <c r="T80" s="8"/>
      <c r="U80" s="8"/>
      <c r="V80" s="8"/>
      <c r="W80" s="8"/>
      <c r="X80" s="8"/>
      <c r="Y80" s="8"/>
      <c r="Z80" s="8"/>
    </row>
    <row r="81" spans="1:26" x14ac:dyDescent="0.3">
      <c r="A81" s="8"/>
      <c r="B81" s="8"/>
      <c r="C81" s="8"/>
      <c r="D81" s="8"/>
      <c r="E81" s="8"/>
      <c r="F81" s="8"/>
      <c r="G81" s="8"/>
      <c r="H81" s="8"/>
      <c r="I81" s="8"/>
      <c r="J81" s="8"/>
      <c r="K81" s="8"/>
      <c r="L81" s="8"/>
      <c r="M81" s="8"/>
      <c r="N81" s="8"/>
      <c r="O81" s="8"/>
      <c r="P81" s="8"/>
      <c r="Q81" s="8"/>
      <c r="R81" s="8"/>
      <c r="S81" s="8"/>
      <c r="T81" s="8"/>
      <c r="U81" s="8"/>
      <c r="V81" s="8"/>
      <c r="W81" s="8"/>
      <c r="X81" s="8"/>
      <c r="Y81" s="8"/>
      <c r="Z81" s="8"/>
    </row>
    <row r="82" spans="1:26" x14ac:dyDescent="0.3">
      <c r="A82" s="8"/>
      <c r="B82" s="8"/>
      <c r="C82" s="8"/>
      <c r="D82" s="8"/>
      <c r="E82" s="8"/>
      <c r="F82" s="8"/>
      <c r="G82" s="8"/>
      <c r="H82" s="8"/>
      <c r="I82" s="8"/>
      <c r="J82" s="8"/>
      <c r="K82" s="8"/>
      <c r="L82" s="8"/>
      <c r="M82" s="8"/>
      <c r="N82" s="8"/>
      <c r="O82" s="8"/>
      <c r="P82" s="8"/>
      <c r="Q82" s="8"/>
      <c r="R82" s="8"/>
      <c r="S82" s="8"/>
      <c r="T82" s="8"/>
      <c r="U82" s="8"/>
      <c r="V82" s="8"/>
      <c r="W82" s="8"/>
      <c r="X82" s="8"/>
      <c r="Y82" s="8"/>
      <c r="Z82" s="8"/>
    </row>
    <row r="83" spans="1:26" x14ac:dyDescent="0.3">
      <c r="A83" s="8"/>
      <c r="B83" s="8"/>
      <c r="C83" s="8"/>
      <c r="D83" s="8"/>
      <c r="E83" s="8"/>
      <c r="F83" s="8"/>
      <c r="G83" s="8"/>
      <c r="H83" s="8"/>
      <c r="I83" s="8"/>
      <c r="J83" s="8"/>
      <c r="K83" s="8"/>
      <c r="L83" s="8"/>
      <c r="M83" s="8"/>
      <c r="N83" s="8"/>
      <c r="O83" s="8"/>
      <c r="P83" s="8"/>
      <c r="Q83" s="8"/>
      <c r="R83" s="8"/>
      <c r="S83" s="8"/>
      <c r="T83" s="8"/>
      <c r="U83" s="8"/>
      <c r="V83" s="8"/>
      <c r="W83" s="8"/>
      <c r="X83" s="8"/>
      <c r="Y83" s="8"/>
      <c r="Z83" s="8"/>
    </row>
    <row r="84" spans="1:26" x14ac:dyDescent="0.3">
      <c r="A84" s="8"/>
      <c r="B84" s="8"/>
      <c r="C84" s="8"/>
      <c r="D84" s="8"/>
      <c r="E84" s="8"/>
      <c r="F84" s="8"/>
      <c r="G84" s="8"/>
      <c r="H84" s="8"/>
      <c r="I84" s="8"/>
      <c r="J84" s="8"/>
      <c r="K84" s="8"/>
      <c r="L84" s="8"/>
      <c r="M84" s="8"/>
      <c r="N84" s="8"/>
      <c r="O84" s="8"/>
      <c r="P84" s="8"/>
      <c r="Q84" s="8"/>
      <c r="R84" s="8"/>
      <c r="S84" s="8"/>
      <c r="T84" s="8"/>
      <c r="U84" s="8"/>
      <c r="V84" s="8"/>
      <c r="W84" s="8"/>
      <c r="X84" s="8"/>
      <c r="Y84" s="8"/>
      <c r="Z84" s="8"/>
    </row>
    <row r="85" spans="1:26" x14ac:dyDescent="0.3">
      <c r="A85" s="8"/>
      <c r="B85" s="8"/>
      <c r="C85" s="8"/>
      <c r="D85" s="8"/>
      <c r="E85" s="8"/>
      <c r="F85" s="8"/>
      <c r="G85" s="8"/>
      <c r="H85" s="8"/>
      <c r="I85" s="8"/>
      <c r="J85" s="8"/>
      <c r="K85" s="8"/>
      <c r="L85" s="8"/>
      <c r="M85" s="8"/>
      <c r="N85" s="8"/>
      <c r="O85" s="8"/>
      <c r="P85" s="8"/>
      <c r="Q85" s="8"/>
      <c r="R85" s="8"/>
      <c r="S85" s="8"/>
      <c r="T85" s="8"/>
      <c r="U85" s="8"/>
      <c r="V85" s="8"/>
      <c r="W85" s="8"/>
      <c r="X85" s="8"/>
      <c r="Y85" s="8"/>
      <c r="Z85" s="8"/>
    </row>
    <row r="86" spans="1:26" x14ac:dyDescent="0.3">
      <c r="A86" s="8"/>
      <c r="B86" s="8"/>
      <c r="C86" s="8"/>
      <c r="D86" s="8"/>
      <c r="E86" s="8"/>
      <c r="F86" s="8"/>
      <c r="G86" s="8"/>
      <c r="H86" s="8"/>
      <c r="I86" s="8"/>
      <c r="J86" s="8"/>
      <c r="K86" s="8"/>
      <c r="L86" s="8"/>
      <c r="M86" s="8"/>
      <c r="N86" s="8"/>
      <c r="O86" s="8"/>
      <c r="P86" s="8"/>
      <c r="Q86" s="8"/>
      <c r="R86" s="8"/>
      <c r="S86" s="8"/>
      <c r="T86" s="8"/>
      <c r="U86" s="8"/>
      <c r="V86" s="8"/>
      <c r="W86" s="8"/>
      <c r="X86" s="8"/>
      <c r="Y86" s="8"/>
      <c r="Z86" s="8"/>
    </row>
    <row r="87" spans="1:26" x14ac:dyDescent="0.3">
      <c r="A87" s="8"/>
      <c r="B87" s="8"/>
      <c r="C87" s="8"/>
      <c r="D87" s="8"/>
      <c r="E87" s="8"/>
      <c r="F87" s="8"/>
      <c r="G87" s="8"/>
      <c r="H87" s="8"/>
      <c r="I87" s="8"/>
      <c r="J87" s="8"/>
      <c r="K87" s="8"/>
      <c r="L87" s="8"/>
      <c r="M87" s="8"/>
      <c r="N87" s="8"/>
      <c r="O87" s="8"/>
      <c r="P87" s="8"/>
      <c r="Q87" s="8"/>
      <c r="R87" s="8"/>
      <c r="S87" s="8"/>
      <c r="T87" s="8"/>
      <c r="U87" s="8"/>
      <c r="V87" s="8"/>
      <c r="W87" s="8"/>
      <c r="X87" s="8"/>
      <c r="Y87" s="8"/>
      <c r="Z87" s="8"/>
    </row>
    <row r="88" spans="1:26" x14ac:dyDescent="0.3">
      <c r="A88" s="8"/>
      <c r="B88" s="8"/>
      <c r="C88" s="8"/>
      <c r="D88" s="8"/>
      <c r="E88" s="8"/>
      <c r="F88" s="8"/>
      <c r="G88" s="8"/>
      <c r="H88" s="8"/>
      <c r="I88" s="8"/>
      <c r="J88" s="8"/>
      <c r="K88" s="8"/>
      <c r="L88" s="8"/>
      <c r="M88" s="8"/>
      <c r="N88" s="8"/>
      <c r="O88" s="8"/>
      <c r="P88" s="8"/>
      <c r="Q88" s="8"/>
      <c r="R88" s="8"/>
      <c r="S88" s="8"/>
      <c r="T88" s="8"/>
      <c r="U88" s="8"/>
      <c r="V88" s="8"/>
      <c r="W88" s="8"/>
      <c r="X88" s="8"/>
      <c r="Y88" s="8"/>
      <c r="Z88" s="8"/>
    </row>
    <row r="89" spans="1:26" x14ac:dyDescent="0.3">
      <c r="A89" s="8"/>
      <c r="B89" s="8"/>
      <c r="C89" s="8"/>
      <c r="D89" s="8"/>
      <c r="E89" s="8"/>
      <c r="F89" s="8"/>
      <c r="G89" s="8"/>
      <c r="H89" s="8"/>
      <c r="I89" s="8"/>
      <c r="J89" s="8"/>
      <c r="K89" s="8"/>
      <c r="L89" s="8"/>
      <c r="M89" s="8"/>
      <c r="N89" s="8"/>
      <c r="O89" s="8"/>
      <c r="P89" s="8"/>
      <c r="Q89" s="8"/>
      <c r="R89" s="8"/>
      <c r="S89" s="8"/>
      <c r="T89" s="8"/>
      <c r="U89" s="8"/>
      <c r="V89" s="8"/>
      <c r="W89" s="8"/>
      <c r="X89" s="8"/>
      <c r="Y89" s="8"/>
      <c r="Z89" s="8"/>
    </row>
    <row r="90" spans="1:26" x14ac:dyDescent="0.3">
      <c r="A90" s="8"/>
      <c r="B90" s="8"/>
      <c r="C90" s="8"/>
      <c r="D90" s="8"/>
      <c r="E90" s="8"/>
      <c r="F90" s="8"/>
      <c r="G90" s="8"/>
      <c r="H90" s="8"/>
      <c r="I90" s="8"/>
      <c r="J90" s="8"/>
      <c r="K90" s="8"/>
      <c r="L90" s="8"/>
      <c r="M90" s="8"/>
      <c r="N90" s="8"/>
      <c r="O90" s="8"/>
      <c r="P90" s="8"/>
      <c r="Q90" s="8"/>
      <c r="R90" s="8"/>
      <c r="S90" s="8"/>
      <c r="T90" s="8"/>
      <c r="U90" s="8"/>
      <c r="V90" s="8"/>
      <c r="W90" s="8"/>
      <c r="X90" s="8"/>
      <c r="Y90" s="8"/>
      <c r="Z90" s="8"/>
    </row>
    <row r="91" spans="1:26" x14ac:dyDescent="0.3">
      <c r="A91" s="8"/>
      <c r="B91" s="8"/>
      <c r="C91" s="8"/>
      <c r="D91" s="8"/>
      <c r="E91" s="8"/>
      <c r="F91" s="8"/>
      <c r="G91" s="8"/>
      <c r="H91" s="8"/>
      <c r="I91" s="8"/>
      <c r="J91" s="8"/>
      <c r="K91" s="8"/>
      <c r="L91" s="8"/>
      <c r="M91" s="8"/>
      <c r="N91" s="8"/>
      <c r="O91" s="8"/>
      <c r="P91" s="8"/>
      <c r="Q91" s="8"/>
      <c r="R91" s="8"/>
      <c r="S91" s="8"/>
      <c r="T91" s="8"/>
      <c r="U91" s="8"/>
      <c r="V91" s="8"/>
      <c r="W91" s="8"/>
      <c r="X91" s="8"/>
      <c r="Y91" s="8"/>
      <c r="Z91" s="8"/>
    </row>
    <row r="92" spans="1:26" x14ac:dyDescent="0.3">
      <c r="A92" s="8"/>
      <c r="B92" s="8"/>
      <c r="C92" s="8"/>
      <c r="D92" s="8"/>
      <c r="E92" s="8"/>
      <c r="F92" s="8"/>
      <c r="G92" s="8"/>
      <c r="H92" s="8"/>
      <c r="I92" s="8"/>
      <c r="J92" s="8"/>
      <c r="K92" s="8"/>
      <c r="L92" s="8"/>
      <c r="M92" s="8"/>
      <c r="N92" s="8"/>
      <c r="O92" s="8"/>
      <c r="P92" s="8"/>
      <c r="Q92" s="8"/>
      <c r="R92" s="8"/>
      <c r="S92" s="8"/>
      <c r="T92" s="8"/>
      <c r="U92" s="8"/>
      <c r="V92" s="8"/>
      <c r="W92" s="8"/>
      <c r="X92" s="8"/>
      <c r="Y92" s="8"/>
      <c r="Z92" s="8"/>
    </row>
    <row r="93" spans="1:26" x14ac:dyDescent="0.3">
      <c r="A93" s="8"/>
      <c r="B93" s="8"/>
      <c r="C93" s="8"/>
      <c r="D93" s="8"/>
      <c r="E93" s="8"/>
      <c r="F93" s="8"/>
      <c r="G93" s="8"/>
      <c r="H93" s="8"/>
      <c r="I93" s="8"/>
      <c r="J93" s="8"/>
      <c r="K93" s="8"/>
      <c r="L93" s="8"/>
      <c r="M93" s="8"/>
      <c r="N93" s="8"/>
      <c r="O93" s="8"/>
      <c r="P93" s="8"/>
      <c r="Q93" s="8"/>
      <c r="R93" s="8"/>
      <c r="S93" s="8"/>
      <c r="T93" s="8"/>
      <c r="U93" s="8"/>
      <c r="V93" s="8"/>
      <c r="W93" s="8"/>
      <c r="X93" s="8"/>
      <c r="Y93" s="8"/>
      <c r="Z93" s="8"/>
    </row>
    <row r="94" spans="1:26" x14ac:dyDescent="0.3">
      <c r="A94" s="8"/>
      <c r="B94" s="8"/>
      <c r="C94" s="8"/>
      <c r="D94" s="8"/>
      <c r="E94" s="8"/>
      <c r="F94" s="8"/>
      <c r="G94" s="8"/>
      <c r="H94" s="8"/>
      <c r="I94" s="8"/>
      <c r="J94" s="8"/>
      <c r="K94" s="8"/>
      <c r="L94" s="8"/>
      <c r="M94" s="8"/>
      <c r="N94" s="8"/>
      <c r="O94" s="8"/>
      <c r="P94" s="8"/>
      <c r="Q94" s="8"/>
      <c r="R94" s="8"/>
      <c r="S94" s="8"/>
      <c r="T94" s="8"/>
      <c r="U94" s="8"/>
      <c r="V94" s="8"/>
      <c r="W94" s="8"/>
      <c r="X94" s="8"/>
      <c r="Y94" s="8"/>
      <c r="Z94" s="8"/>
    </row>
    <row r="95" spans="1:26" x14ac:dyDescent="0.3">
      <c r="A95" s="8"/>
      <c r="B95" s="8"/>
      <c r="C95" s="8"/>
      <c r="D95" s="8"/>
      <c r="E95" s="8"/>
      <c r="F95" s="8"/>
      <c r="G95" s="8"/>
      <c r="H95" s="8"/>
      <c r="I95" s="8"/>
      <c r="J95" s="8"/>
      <c r="K95" s="8"/>
      <c r="L95" s="8"/>
      <c r="M95" s="8"/>
      <c r="N95" s="8"/>
      <c r="O95" s="8"/>
      <c r="P95" s="8"/>
      <c r="Q95" s="8"/>
      <c r="R95" s="8"/>
      <c r="S95" s="8"/>
      <c r="T95" s="8"/>
      <c r="U95" s="8"/>
      <c r="V95" s="8"/>
      <c r="W95" s="8"/>
      <c r="X95" s="8"/>
      <c r="Y95" s="8"/>
      <c r="Z95" s="8"/>
    </row>
    <row r="96" spans="1:26" x14ac:dyDescent="0.3">
      <c r="A96" s="8"/>
      <c r="B96" s="8"/>
      <c r="C96" s="8"/>
      <c r="D96" s="8"/>
      <c r="E96" s="8"/>
      <c r="F96" s="8"/>
      <c r="G96" s="8"/>
      <c r="H96" s="8"/>
      <c r="I96" s="8"/>
      <c r="J96" s="8"/>
      <c r="K96" s="8"/>
      <c r="L96" s="8"/>
      <c r="M96" s="8"/>
      <c r="N96" s="8"/>
      <c r="O96" s="8"/>
      <c r="P96" s="8"/>
      <c r="Q96" s="8"/>
      <c r="R96" s="8"/>
      <c r="S96" s="8"/>
      <c r="T96" s="8"/>
      <c r="U96" s="8"/>
      <c r="V96" s="8"/>
      <c r="W96" s="8"/>
      <c r="X96" s="8"/>
      <c r="Y96" s="8"/>
      <c r="Z96" s="8"/>
    </row>
    <row r="97" spans="1:26" x14ac:dyDescent="0.3">
      <c r="A97" s="8"/>
      <c r="B97" s="8"/>
      <c r="C97" s="8"/>
      <c r="D97" s="8"/>
      <c r="E97" s="8"/>
      <c r="F97" s="8"/>
      <c r="G97" s="8"/>
      <c r="H97" s="8"/>
      <c r="I97" s="8"/>
      <c r="J97" s="8"/>
      <c r="K97" s="8"/>
      <c r="L97" s="8"/>
      <c r="M97" s="8"/>
      <c r="N97" s="8"/>
      <c r="O97" s="8"/>
      <c r="P97" s="8"/>
      <c r="Q97" s="8"/>
      <c r="R97" s="8"/>
      <c r="S97" s="8"/>
      <c r="T97" s="8"/>
      <c r="U97" s="8"/>
      <c r="V97" s="8"/>
      <c r="W97" s="8"/>
      <c r="X97" s="8"/>
      <c r="Y97" s="8"/>
      <c r="Z97" s="8"/>
    </row>
    <row r="98" spans="1:26" x14ac:dyDescent="0.3">
      <c r="A98" s="8"/>
      <c r="B98" s="8"/>
      <c r="C98" s="8"/>
      <c r="D98" s="8"/>
      <c r="E98" s="8"/>
      <c r="F98" s="8"/>
      <c r="G98" s="8"/>
      <c r="H98" s="8"/>
      <c r="I98" s="8"/>
      <c r="J98" s="8"/>
      <c r="K98" s="8"/>
      <c r="L98" s="8"/>
      <c r="M98" s="8"/>
      <c r="N98" s="8"/>
      <c r="O98" s="8"/>
      <c r="P98" s="8"/>
      <c r="Q98" s="8"/>
      <c r="R98" s="8"/>
      <c r="S98" s="8"/>
      <c r="T98" s="8"/>
      <c r="U98" s="8"/>
      <c r="V98" s="8"/>
      <c r="W98" s="8"/>
      <c r="X98" s="8"/>
      <c r="Y98" s="8"/>
      <c r="Z98" s="8"/>
    </row>
    <row r="99" spans="1:26" x14ac:dyDescent="0.3">
      <c r="A99" s="8"/>
      <c r="B99" s="8"/>
      <c r="C99" s="8"/>
      <c r="D99" s="8"/>
      <c r="E99" s="8"/>
      <c r="F99" s="8"/>
      <c r="G99" s="8"/>
      <c r="H99" s="8"/>
      <c r="I99" s="8"/>
      <c r="J99" s="8"/>
      <c r="K99" s="8"/>
      <c r="L99" s="8"/>
      <c r="M99" s="8"/>
      <c r="N99" s="8"/>
      <c r="O99" s="8"/>
      <c r="P99" s="8"/>
      <c r="Q99" s="8"/>
      <c r="R99" s="8"/>
      <c r="S99" s="8"/>
      <c r="T99" s="8"/>
      <c r="U99" s="8"/>
      <c r="V99" s="8"/>
      <c r="W99" s="8"/>
      <c r="X99" s="8"/>
      <c r="Y99" s="8"/>
      <c r="Z99" s="8"/>
    </row>
    <row r="100" spans="1:26" x14ac:dyDescent="0.3">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7006-9B72-467C-84CE-A3D107C3D13C}">
  <sheetPr codeName="Sheet4"/>
  <dimension ref="A1:N25"/>
  <sheetViews>
    <sheetView workbookViewId="0">
      <selection activeCell="A3" sqref="A3"/>
    </sheetView>
  </sheetViews>
  <sheetFormatPr defaultRowHeight="14.4" x14ac:dyDescent="0.3"/>
  <cols>
    <col min="1" max="1" width="10.5546875" bestFit="1" customWidth="1"/>
    <col min="2" max="2" width="11.44140625" bestFit="1" customWidth="1"/>
    <col min="4" max="4" width="7.109375" bestFit="1" customWidth="1"/>
    <col min="5" max="5" width="11.44140625" bestFit="1" customWidth="1"/>
    <col min="10" max="10" width="12.44140625" bestFit="1" customWidth="1"/>
    <col min="11" max="11" width="5.5546875" bestFit="1" customWidth="1"/>
    <col min="13" max="13" width="7.109375" bestFit="1" customWidth="1"/>
    <col min="14" max="14" width="11.44140625" bestFit="1" customWidth="1"/>
  </cols>
  <sheetData>
    <row r="1" spans="1:14" x14ac:dyDescent="0.3">
      <c r="A1" s="11" t="s">
        <v>5</v>
      </c>
      <c r="B1" t="s">
        <v>10</v>
      </c>
    </row>
    <row r="3" spans="1:14" x14ac:dyDescent="0.3">
      <c r="A3" s="11" t="s">
        <v>93</v>
      </c>
      <c r="B3" s="11" t="s">
        <v>94</v>
      </c>
      <c r="C3" s="11" t="s">
        <v>95</v>
      </c>
      <c r="D3" s="11" t="s">
        <v>0</v>
      </c>
      <c r="E3" t="s">
        <v>10</v>
      </c>
      <c r="J3" s="11" t="s">
        <v>93</v>
      </c>
      <c r="K3" s="11" t="s">
        <v>94</v>
      </c>
      <c r="L3" s="11" t="s">
        <v>95</v>
      </c>
      <c r="M3" s="11" t="s">
        <v>0</v>
      </c>
      <c r="N3" t="s">
        <v>12</v>
      </c>
    </row>
    <row r="4" spans="1:14" x14ac:dyDescent="0.3">
      <c r="A4" t="s">
        <v>91</v>
      </c>
      <c r="E4" s="7">
        <v>2645103.4499999997</v>
      </c>
      <c r="J4" t="s">
        <v>91</v>
      </c>
      <c r="N4" s="7">
        <v>523026.22999999992</v>
      </c>
    </row>
    <row r="5" spans="1:14" x14ac:dyDescent="0.3">
      <c r="A5" t="s">
        <v>92</v>
      </c>
      <c r="E5" s="7">
        <v>5957582.3600000013</v>
      </c>
      <c r="J5" t="s">
        <v>92</v>
      </c>
      <c r="N5" s="7">
        <v>932664.78000000073</v>
      </c>
    </row>
    <row r="6" spans="1:14" x14ac:dyDescent="0.3">
      <c r="A6" t="s">
        <v>105</v>
      </c>
      <c r="E6" s="7">
        <v>459381.86</v>
      </c>
      <c r="J6" t="s">
        <v>105</v>
      </c>
      <c r="N6" s="7">
        <v>139492.87</v>
      </c>
    </row>
    <row r="7" spans="1:14" x14ac:dyDescent="0.3">
      <c r="A7" t="s">
        <v>13</v>
      </c>
      <c r="E7" s="7">
        <v>9062067.6699999999</v>
      </c>
      <c r="J7" t="s">
        <v>13</v>
      </c>
      <c r="N7" s="7">
        <v>1595183.8800000008</v>
      </c>
    </row>
    <row r="18" spans="1:2" x14ac:dyDescent="0.3">
      <c r="A18" s="11" t="s">
        <v>5</v>
      </c>
      <c r="B18" t="s">
        <v>10</v>
      </c>
    </row>
    <row r="20" spans="1:2" x14ac:dyDescent="0.3">
      <c r="A20" s="11" t="s">
        <v>6</v>
      </c>
      <c r="B20" t="s">
        <v>10</v>
      </c>
    </row>
    <row r="21" spans="1:2" x14ac:dyDescent="0.3">
      <c r="A21" t="s">
        <v>15</v>
      </c>
      <c r="B21" s="7">
        <v>2445579.4699999993</v>
      </c>
    </row>
    <row r="22" spans="1:2" x14ac:dyDescent="0.3">
      <c r="A22" t="s">
        <v>57</v>
      </c>
      <c r="B22" s="7">
        <v>2246915.1099999994</v>
      </c>
    </row>
    <row r="23" spans="1:2" x14ac:dyDescent="0.3">
      <c r="A23" t="s">
        <v>74</v>
      </c>
      <c r="B23" s="7">
        <v>2071278.76</v>
      </c>
    </row>
    <row r="24" spans="1:2" x14ac:dyDescent="0.3">
      <c r="A24" t="s">
        <v>40</v>
      </c>
      <c r="B24" s="7">
        <v>2298294.33</v>
      </c>
    </row>
    <row r="25" spans="1:2" x14ac:dyDescent="0.3">
      <c r="A25" t="s">
        <v>13</v>
      </c>
      <c r="B25" s="7">
        <v>9062067.6699999981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Sheet1</vt:lpstr>
      <vt:lpstr>DATA</vt:lpstr>
      <vt:lpstr>MAIN</vt:lpstr>
      <vt:lpstr>ass_GrowthMoM</vt:lpstr>
      <vt:lpstr>ass_LossProb</vt:lpstr>
      <vt:lpstr>ass_MonthsBack</vt:lpstr>
      <vt:lpstr>ass_NoiseLow</vt:lpstr>
      <vt:lpstr>ass_Seed</vt:lpstr>
      <vt:lpstr>ass_ShockProb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 Armeni</dc:creator>
  <cp:lastModifiedBy>Bryce Armeni</cp:lastModifiedBy>
  <dcterms:created xsi:type="dcterms:W3CDTF">2025-10-26T06:35:49Z</dcterms:created>
  <dcterms:modified xsi:type="dcterms:W3CDTF">2026-01-13T19:28:21Z</dcterms:modified>
</cp:coreProperties>
</file>